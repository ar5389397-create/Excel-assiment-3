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16f4a93056e0567/Desktop/"/>
    </mc:Choice>
  </mc:AlternateContent>
  <xr:revisionPtr revIDLastSave="2" documentId="8_{CDA8E7F5-A4C4-4A4B-B0CC-5F8E04475E55}" xr6:coauthVersionLast="47" xr6:coauthVersionMax="47" xr10:uidLastSave="{7451350A-86ED-40DD-8341-9C4E68FDD922}"/>
  <bookViews>
    <workbookView xWindow="-108" yWindow="-108" windowWidth="23256" windowHeight="12456" activeTab="1" xr2:uid="{00000000-000D-0000-FFFF-FFFF00000000}"/>
  </bookViews>
  <sheets>
    <sheet name="Pivot_Analysis" sheetId="3" r:id="rId1"/>
    <sheet name="Call center insights" sheetId="4" r:id="rId2"/>
    <sheet name="Data" sheetId="1" r:id="rId3"/>
  </sheets>
  <definedNames>
    <definedName name="_xlcn.WorksheetConnection_07.sampledataexcelportfolioproject.xlsxcustomers1">#REF!</definedName>
  </definedNames>
  <calcPr calcId="191029"/>
  <pivotCaches>
    <pivotCache cacheId="0" r:id="rId4"/>
  </pivotCaches>
  <extLst>
    <ext uri="GoogleSheetsCustomDataVersion2">
      <go:sheetsCustomData xmlns:go="http://customooxmlschemas.google.com/" r:id="rId5" roundtripDataChecksum="6wAsiSzKUp+AayM+6rquVKZTV6RFUNfiKYspOOb0BHY="/>
    </ext>
  </extLst>
</workbook>
</file>

<file path=xl/calcChain.xml><?xml version="1.0" encoding="utf-8"?>
<calcChain xmlns="http://schemas.openxmlformats.org/spreadsheetml/2006/main">
  <c r="K1001" i="1" l="1"/>
  <c r="I1001" i="1"/>
  <c r="H1001" i="1"/>
  <c r="K1000" i="1"/>
  <c r="I1000" i="1"/>
  <c r="H1000" i="1"/>
  <c r="K999" i="1"/>
  <c r="I999" i="1"/>
  <c r="H999" i="1"/>
  <c r="K998" i="1"/>
  <c r="I998" i="1"/>
  <c r="H998" i="1"/>
  <c r="K997" i="1"/>
  <c r="I997" i="1"/>
  <c r="H997" i="1"/>
  <c r="K996" i="1"/>
  <c r="I996" i="1"/>
  <c r="H996" i="1"/>
  <c r="K995" i="1"/>
  <c r="I995" i="1"/>
  <c r="H995" i="1"/>
  <c r="K994" i="1"/>
  <c r="I994" i="1"/>
  <c r="H994" i="1"/>
  <c r="K993" i="1"/>
  <c r="I993" i="1"/>
  <c r="H993" i="1"/>
  <c r="K992" i="1"/>
  <c r="I992" i="1"/>
  <c r="H992" i="1"/>
  <c r="K991" i="1"/>
  <c r="I991" i="1"/>
  <c r="H991" i="1"/>
  <c r="K990" i="1"/>
  <c r="I990" i="1"/>
  <c r="H990" i="1"/>
  <c r="K989" i="1"/>
  <c r="I989" i="1"/>
  <c r="H989" i="1"/>
  <c r="K988" i="1"/>
  <c r="I988" i="1"/>
  <c r="H988" i="1"/>
  <c r="K987" i="1"/>
  <c r="I987" i="1"/>
  <c r="H987" i="1"/>
  <c r="K986" i="1"/>
  <c r="I986" i="1"/>
  <c r="H986" i="1"/>
  <c r="K985" i="1"/>
  <c r="I985" i="1"/>
  <c r="H985" i="1"/>
  <c r="K984" i="1"/>
  <c r="I984" i="1"/>
  <c r="H984" i="1"/>
  <c r="K983" i="1"/>
  <c r="I983" i="1"/>
  <c r="H983" i="1"/>
  <c r="K982" i="1"/>
  <c r="I982" i="1"/>
  <c r="H982" i="1"/>
  <c r="K981" i="1"/>
  <c r="I981" i="1"/>
  <c r="H981" i="1"/>
  <c r="K980" i="1"/>
  <c r="I980" i="1"/>
  <c r="H980" i="1"/>
  <c r="K979" i="1"/>
  <c r="I979" i="1"/>
  <c r="H979" i="1"/>
  <c r="K978" i="1"/>
  <c r="I978" i="1"/>
  <c r="H978" i="1"/>
  <c r="K977" i="1"/>
  <c r="I977" i="1"/>
  <c r="H977" i="1"/>
  <c r="K976" i="1"/>
  <c r="I976" i="1"/>
  <c r="H976" i="1"/>
  <c r="K975" i="1"/>
  <c r="I975" i="1"/>
  <c r="H975" i="1"/>
  <c r="K974" i="1"/>
  <c r="I974" i="1"/>
  <c r="H974" i="1"/>
  <c r="K973" i="1"/>
  <c r="I973" i="1"/>
  <c r="H973" i="1"/>
  <c r="K972" i="1"/>
  <c r="I972" i="1"/>
  <c r="H972" i="1"/>
  <c r="K971" i="1"/>
  <c r="I971" i="1"/>
  <c r="H971" i="1"/>
  <c r="K970" i="1"/>
  <c r="I970" i="1"/>
  <c r="H970" i="1"/>
  <c r="K969" i="1"/>
  <c r="I969" i="1"/>
  <c r="H969" i="1"/>
  <c r="K968" i="1"/>
  <c r="I968" i="1"/>
  <c r="H968" i="1"/>
  <c r="K967" i="1"/>
  <c r="I967" i="1"/>
  <c r="H967" i="1"/>
  <c r="K966" i="1"/>
  <c r="I966" i="1"/>
  <c r="H966" i="1"/>
  <c r="K965" i="1"/>
  <c r="I965" i="1"/>
  <c r="H965" i="1"/>
  <c r="K964" i="1"/>
  <c r="I964" i="1"/>
  <c r="H964" i="1"/>
  <c r="K963" i="1"/>
  <c r="I963" i="1"/>
  <c r="H963" i="1"/>
  <c r="K962" i="1"/>
  <c r="I962" i="1"/>
  <c r="H962" i="1"/>
  <c r="K961" i="1"/>
  <c r="I961" i="1"/>
  <c r="H961" i="1"/>
  <c r="K960" i="1"/>
  <c r="I960" i="1"/>
  <c r="H960" i="1"/>
  <c r="K959" i="1"/>
  <c r="I959" i="1"/>
  <c r="H959" i="1"/>
  <c r="K958" i="1"/>
  <c r="I958" i="1"/>
  <c r="H958" i="1"/>
  <c r="K957" i="1"/>
  <c r="I957" i="1"/>
  <c r="H957" i="1"/>
  <c r="K956" i="1"/>
  <c r="I956" i="1"/>
  <c r="H956" i="1"/>
  <c r="K955" i="1"/>
  <c r="I955" i="1"/>
  <c r="H955" i="1"/>
  <c r="K954" i="1"/>
  <c r="I954" i="1"/>
  <c r="H954" i="1"/>
  <c r="K953" i="1"/>
  <c r="I953" i="1"/>
  <c r="H953" i="1"/>
  <c r="K952" i="1"/>
  <c r="I952" i="1"/>
  <c r="H952" i="1"/>
  <c r="K951" i="1"/>
  <c r="I951" i="1"/>
  <c r="H951" i="1"/>
  <c r="K950" i="1"/>
  <c r="I950" i="1"/>
  <c r="H950" i="1"/>
  <c r="K949" i="1"/>
  <c r="I949" i="1"/>
  <c r="H949" i="1"/>
  <c r="K948" i="1"/>
  <c r="I948" i="1"/>
  <c r="H948" i="1"/>
  <c r="K947" i="1"/>
  <c r="I947" i="1"/>
  <c r="H947" i="1"/>
  <c r="K946" i="1"/>
  <c r="I946" i="1"/>
  <c r="H946" i="1"/>
  <c r="K945" i="1"/>
  <c r="I945" i="1"/>
  <c r="H945" i="1"/>
  <c r="K944" i="1"/>
  <c r="I944" i="1"/>
  <c r="H944" i="1"/>
  <c r="K943" i="1"/>
  <c r="I943" i="1"/>
  <c r="H943" i="1"/>
  <c r="K942" i="1"/>
  <c r="I942" i="1"/>
  <c r="H942" i="1"/>
  <c r="K941" i="1"/>
  <c r="I941" i="1"/>
  <c r="H941" i="1"/>
  <c r="K940" i="1"/>
  <c r="I940" i="1"/>
  <c r="H940" i="1"/>
  <c r="K939" i="1"/>
  <c r="I939" i="1"/>
  <c r="H939" i="1"/>
  <c r="K938" i="1"/>
  <c r="I938" i="1"/>
  <c r="H938" i="1"/>
  <c r="K937" i="1"/>
  <c r="I937" i="1"/>
  <c r="H937" i="1"/>
  <c r="K936" i="1"/>
  <c r="I936" i="1"/>
  <c r="H936" i="1"/>
  <c r="K935" i="1"/>
  <c r="I935" i="1"/>
  <c r="H935" i="1"/>
  <c r="K934" i="1"/>
  <c r="I934" i="1"/>
  <c r="H934" i="1"/>
  <c r="K933" i="1"/>
  <c r="I933" i="1"/>
  <c r="H933" i="1"/>
  <c r="K932" i="1"/>
  <c r="I932" i="1"/>
  <c r="H932" i="1"/>
  <c r="K931" i="1"/>
  <c r="I931" i="1"/>
  <c r="H931" i="1"/>
  <c r="K930" i="1"/>
  <c r="I930" i="1"/>
  <c r="H930" i="1"/>
  <c r="K929" i="1"/>
  <c r="I929" i="1"/>
  <c r="H929" i="1"/>
  <c r="K928" i="1"/>
  <c r="I928" i="1"/>
  <c r="H928" i="1"/>
  <c r="K927" i="1"/>
  <c r="I927" i="1"/>
  <c r="H927" i="1"/>
  <c r="K926" i="1"/>
  <c r="I926" i="1"/>
  <c r="H926" i="1"/>
  <c r="K925" i="1"/>
  <c r="I925" i="1"/>
  <c r="H925" i="1"/>
  <c r="K924" i="1"/>
  <c r="I924" i="1"/>
  <c r="H924" i="1"/>
  <c r="K923" i="1"/>
  <c r="I923" i="1"/>
  <c r="H923" i="1"/>
  <c r="K922" i="1"/>
  <c r="I922" i="1"/>
  <c r="H922" i="1"/>
  <c r="K921" i="1"/>
  <c r="I921" i="1"/>
  <c r="H921" i="1"/>
  <c r="K920" i="1"/>
  <c r="I920" i="1"/>
  <c r="H920" i="1"/>
  <c r="K919" i="1"/>
  <c r="I919" i="1"/>
  <c r="H919" i="1"/>
  <c r="K918" i="1"/>
  <c r="I918" i="1"/>
  <c r="H918" i="1"/>
  <c r="K917" i="1"/>
  <c r="I917" i="1"/>
  <c r="H917" i="1"/>
  <c r="K916" i="1"/>
  <c r="I916" i="1"/>
  <c r="H916" i="1"/>
  <c r="K915" i="1"/>
  <c r="I915" i="1"/>
  <c r="H915" i="1"/>
  <c r="K914" i="1"/>
  <c r="I914" i="1"/>
  <c r="H914" i="1"/>
  <c r="K913" i="1"/>
  <c r="I913" i="1"/>
  <c r="H913" i="1"/>
  <c r="K912" i="1"/>
  <c r="I912" i="1"/>
  <c r="H912" i="1"/>
  <c r="K911" i="1"/>
  <c r="I911" i="1"/>
  <c r="H911" i="1"/>
  <c r="K910" i="1"/>
  <c r="I910" i="1"/>
  <c r="H910" i="1"/>
  <c r="K909" i="1"/>
  <c r="I909" i="1"/>
  <c r="H909" i="1"/>
  <c r="K908" i="1"/>
  <c r="I908" i="1"/>
  <c r="H908" i="1"/>
  <c r="K907" i="1"/>
  <c r="I907" i="1"/>
  <c r="H907" i="1"/>
  <c r="K906" i="1"/>
  <c r="I906" i="1"/>
  <c r="H906" i="1"/>
  <c r="K905" i="1"/>
  <c r="I905" i="1"/>
  <c r="H905" i="1"/>
  <c r="K904" i="1"/>
  <c r="I904" i="1"/>
  <c r="H904" i="1"/>
  <c r="K903" i="1"/>
  <c r="I903" i="1"/>
  <c r="H903" i="1"/>
  <c r="K902" i="1"/>
  <c r="I902" i="1"/>
  <c r="H902" i="1"/>
  <c r="K901" i="1"/>
  <c r="I901" i="1"/>
  <c r="H901" i="1"/>
  <c r="K900" i="1"/>
  <c r="I900" i="1"/>
  <c r="H900" i="1"/>
  <c r="K899" i="1"/>
  <c r="I899" i="1"/>
  <c r="H899" i="1"/>
  <c r="K898" i="1"/>
  <c r="I898" i="1"/>
  <c r="H898" i="1"/>
  <c r="K897" i="1"/>
  <c r="I897" i="1"/>
  <c r="H897" i="1"/>
  <c r="K896" i="1"/>
  <c r="I896" i="1"/>
  <c r="H896" i="1"/>
  <c r="K895" i="1"/>
  <c r="I895" i="1"/>
  <c r="H895" i="1"/>
  <c r="K894" i="1"/>
  <c r="I894" i="1"/>
  <c r="H894" i="1"/>
  <c r="K893" i="1"/>
  <c r="I893" i="1"/>
  <c r="H893" i="1"/>
  <c r="K892" i="1"/>
  <c r="I892" i="1"/>
  <c r="H892" i="1"/>
  <c r="K891" i="1"/>
  <c r="I891" i="1"/>
  <c r="H891" i="1"/>
  <c r="K890" i="1"/>
  <c r="I890" i="1"/>
  <c r="H890" i="1"/>
  <c r="K889" i="1"/>
  <c r="I889" i="1"/>
  <c r="H889" i="1"/>
  <c r="K888" i="1"/>
  <c r="I888" i="1"/>
  <c r="H888" i="1"/>
  <c r="K887" i="1"/>
  <c r="I887" i="1"/>
  <c r="H887" i="1"/>
  <c r="K886" i="1"/>
  <c r="I886" i="1"/>
  <c r="H886" i="1"/>
  <c r="K885" i="1"/>
  <c r="I885" i="1"/>
  <c r="H885" i="1"/>
  <c r="K884" i="1"/>
  <c r="I884" i="1"/>
  <c r="H884" i="1"/>
  <c r="K883" i="1"/>
  <c r="I883" i="1"/>
  <c r="H883" i="1"/>
  <c r="K882" i="1"/>
  <c r="I882" i="1"/>
  <c r="H882" i="1"/>
  <c r="K881" i="1"/>
  <c r="I881" i="1"/>
  <c r="H881" i="1"/>
  <c r="K880" i="1"/>
  <c r="I880" i="1"/>
  <c r="H880" i="1"/>
  <c r="K879" i="1"/>
  <c r="I879" i="1"/>
  <c r="H879" i="1"/>
  <c r="K878" i="1"/>
  <c r="I878" i="1"/>
  <c r="H878" i="1"/>
  <c r="K877" i="1"/>
  <c r="I877" i="1"/>
  <c r="H877" i="1"/>
  <c r="K876" i="1"/>
  <c r="I876" i="1"/>
  <c r="H876" i="1"/>
  <c r="K875" i="1"/>
  <c r="I875" i="1"/>
  <c r="H875" i="1"/>
  <c r="K874" i="1"/>
  <c r="I874" i="1"/>
  <c r="H874" i="1"/>
  <c r="K873" i="1"/>
  <c r="I873" i="1"/>
  <c r="H873" i="1"/>
  <c r="K872" i="1"/>
  <c r="I872" i="1"/>
  <c r="H872" i="1"/>
  <c r="K871" i="1"/>
  <c r="I871" i="1"/>
  <c r="H871" i="1"/>
  <c r="K870" i="1"/>
  <c r="I870" i="1"/>
  <c r="H870" i="1"/>
  <c r="K869" i="1"/>
  <c r="I869" i="1"/>
  <c r="H869" i="1"/>
  <c r="K868" i="1"/>
  <c r="I868" i="1"/>
  <c r="H868" i="1"/>
  <c r="K867" i="1"/>
  <c r="I867" i="1"/>
  <c r="H867" i="1"/>
  <c r="K866" i="1"/>
  <c r="I866" i="1"/>
  <c r="H866" i="1"/>
  <c r="K865" i="1"/>
  <c r="I865" i="1"/>
  <c r="H865" i="1"/>
  <c r="K864" i="1"/>
  <c r="I864" i="1"/>
  <c r="H864" i="1"/>
  <c r="K863" i="1"/>
  <c r="I863" i="1"/>
  <c r="H863" i="1"/>
  <c r="K862" i="1"/>
  <c r="I862" i="1"/>
  <c r="H862" i="1"/>
  <c r="K861" i="1"/>
  <c r="I861" i="1"/>
  <c r="H861" i="1"/>
  <c r="K860" i="1"/>
  <c r="I860" i="1"/>
  <c r="H860" i="1"/>
  <c r="K859" i="1"/>
  <c r="I859" i="1"/>
  <c r="H859" i="1"/>
  <c r="K858" i="1"/>
  <c r="I858" i="1"/>
  <c r="H858" i="1"/>
  <c r="K857" i="1"/>
  <c r="I857" i="1"/>
  <c r="H857" i="1"/>
  <c r="K856" i="1"/>
  <c r="I856" i="1"/>
  <c r="H856" i="1"/>
  <c r="K855" i="1"/>
  <c r="I855" i="1"/>
  <c r="H855" i="1"/>
  <c r="K854" i="1"/>
  <c r="I854" i="1"/>
  <c r="H854" i="1"/>
  <c r="K853" i="1"/>
  <c r="I853" i="1"/>
  <c r="H853" i="1"/>
  <c r="K852" i="1"/>
  <c r="I852" i="1"/>
  <c r="H852" i="1"/>
  <c r="K851" i="1"/>
  <c r="I851" i="1"/>
  <c r="H851" i="1"/>
  <c r="K850" i="1"/>
  <c r="I850" i="1"/>
  <c r="H850" i="1"/>
  <c r="K849" i="1"/>
  <c r="I849" i="1"/>
  <c r="H849" i="1"/>
  <c r="K848" i="1"/>
  <c r="I848" i="1"/>
  <c r="H848" i="1"/>
  <c r="K847" i="1"/>
  <c r="I847" i="1"/>
  <c r="H847" i="1"/>
  <c r="K846" i="1"/>
  <c r="I846" i="1"/>
  <c r="H846" i="1"/>
  <c r="K845" i="1"/>
  <c r="I845" i="1"/>
  <c r="H845" i="1"/>
  <c r="K844" i="1"/>
  <c r="I844" i="1"/>
  <c r="H844" i="1"/>
  <c r="K843" i="1"/>
  <c r="I843" i="1"/>
  <c r="H843" i="1"/>
  <c r="K842" i="1"/>
  <c r="I842" i="1"/>
  <c r="H842" i="1"/>
  <c r="K841" i="1"/>
  <c r="I841" i="1"/>
  <c r="H841" i="1"/>
  <c r="K840" i="1"/>
  <c r="I840" i="1"/>
  <c r="H840" i="1"/>
  <c r="K839" i="1"/>
  <c r="I839" i="1"/>
  <c r="H839" i="1"/>
  <c r="K838" i="1"/>
  <c r="I838" i="1"/>
  <c r="H838" i="1"/>
  <c r="K837" i="1"/>
  <c r="I837" i="1"/>
  <c r="H837" i="1"/>
  <c r="K836" i="1"/>
  <c r="I836" i="1"/>
  <c r="H836" i="1"/>
  <c r="K835" i="1"/>
  <c r="I835" i="1"/>
  <c r="H835" i="1"/>
  <c r="K834" i="1"/>
  <c r="I834" i="1"/>
  <c r="H834" i="1"/>
  <c r="K833" i="1"/>
  <c r="I833" i="1"/>
  <c r="H833" i="1"/>
  <c r="K832" i="1"/>
  <c r="I832" i="1"/>
  <c r="H832" i="1"/>
  <c r="K831" i="1"/>
  <c r="I831" i="1"/>
  <c r="H831" i="1"/>
  <c r="K830" i="1"/>
  <c r="I830" i="1"/>
  <c r="H830" i="1"/>
  <c r="K829" i="1"/>
  <c r="I829" i="1"/>
  <c r="H829" i="1"/>
  <c r="K828" i="1"/>
  <c r="I828" i="1"/>
  <c r="H828" i="1"/>
  <c r="K827" i="1"/>
  <c r="I827" i="1"/>
  <c r="H827" i="1"/>
  <c r="K826" i="1"/>
  <c r="I826" i="1"/>
  <c r="H826" i="1"/>
  <c r="K825" i="1"/>
  <c r="I825" i="1"/>
  <c r="H825" i="1"/>
  <c r="K824" i="1"/>
  <c r="I824" i="1"/>
  <c r="H824" i="1"/>
  <c r="K823" i="1"/>
  <c r="I823" i="1"/>
  <c r="H823" i="1"/>
  <c r="K822" i="1"/>
  <c r="I822" i="1"/>
  <c r="H822" i="1"/>
  <c r="K821" i="1"/>
  <c r="I821" i="1"/>
  <c r="H821" i="1"/>
  <c r="K820" i="1"/>
  <c r="I820" i="1"/>
  <c r="H820" i="1"/>
  <c r="K819" i="1"/>
  <c r="I819" i="1"/>
  <c r="H819" i="1"/>
  <c r="K818" i="1"/>
  <c r="I818" i="1"/>
  <c r="H818" i="1"/>
  <c r="K817" i="1"/>
  <c r="I817" i="1"/>
  <c r="H817" i="1"/>
  <c r="K816" i="1"/>
  <c r="I816" i="1"/>
  <c r="H816" i="1"/>
  <c r="K815" i="1"/>
  <c r="I815" i="1"/>
  <c r="H815" i="1"/>
  <c r="K814" i="1"/>
  <c r="I814" i="1"/>
  <c r="H814" i="1"/>
  <c r="K813" i="1"/>
  <c r="I813" i="1"/>
  <c r="H813" i="1"/>
  <c r="K812" i="1"/>
  <c r="I812" i="1"/>
  <c r="H812" i="1"/>
  <c r="K811" i="1"/>
  <c r="I811" i="1"/>
  <c r="H811" i="1"/>
  <c r="K810" i="1"/>
  <c r="I810" i="1"/>
  <c r="H810" i="1"/>
  <c r="K809" i="1"/>
  <c r="I809" i="1"/>
  <c r="H809" i="1"/>
  <c r="K808" i="1"/>
  <c r="I808" i="1"/>
  <c r="H808" i="1"/>
  <c r="K807" i="1"/>
  <c r="I807" i="1"/>
  <c r="H807" i="1"/>
  <c r="K806" i="1"/>
  <c r="I806" i="1"/>
  <c r="H806" i="1"/>
  <c r="K805" i="1"/>
  <c r="I805" i="1"/>
  <c r="H805" i="1"/>
  <c r="K804" i="1"/>
  <c r="I804" i="1"/>
  <c r="H804" i="1"/>
  <c r="K803" i="1"/>
  <c r="I803" i="1"/>
  <c r="H803" i="1"/>
  <c r="K802" i="1"/>
  <c r="I802" i="1"/>
  <c r="H802" i="1"/>
  <c r="K801" i="1"/>
  <c r="I801" i="1"/>
  <c r="H801" i="1"/>
  <c r="K800" i="1"/>
  <c r="I800" i="1"/>
  <c r="H800" i="1"/>
  <c r="K799" i="1"/>
  <c r="I799" i="1"/>
  <c r="H799" i="1"/>
  <c r="K798" i="1"/>
  <c r="I798" i="1"/>
  <c r="H798" i="1"/>
  <c r="K797" i="1"/>
  <c r="I797" i="1"/>
  <c r="H797" i="1"/>
  <c r="K796" i="1"/>
  <c r="I796" i="1"/>
  <c r="H796" i="1"/>
  <c r="K795" i="1"/>
  <c r="I795" i="1"/>
  <c r="H795" i="1"/>
  <c r="K794" i="1"/>
  <c r="I794" i="1"/>
  <c r="H794" i="1"/>
  <c r="K793" i="1"/>
  <c r="I793" i="1"/>
  <c r="H793" i="1"/>
  <c r="K792" i="1"/>
  <c r="I792" i="1"/>
  <c r="H792" i="1"/>
  <c r="K791" i="1"/>
  <c r="I791" i="1"/>
  <c r="H791" i="1"/>
  <c r="K790" i="1"/>
  <c r="I790" i="1"/>
  <c r="H790" i="1"/>
  <c r="K789" i="1"/>
  <c r="I789" i="1"/>
  <c r="H789" i="1"/>
  <c r="K788" i="1"/>
  <c r="I788" i="1"/>
  <c r="H788" i="1"/>
  <c r="K787" i="1"/>
  <c r="I787" i="1"/>
  <c r="H787" i="1"/>
  <c r="K786" i="1"/>
  <c r="I786" i="1"/>
  <c r="H786" i="1"/>
  <c r="K785" i="1"/>
  <c r="I785" i="1"/>
  <c r="H785" i="1"/>
  <c r="K784" i="1"/>
  <c r="I784" i="1"/>
  <c r="H784" i="1"/>
  <c r="K783" i="1"/>
  <c r="I783" i="1"/>
  <c r="H783" i="1"/>
  <c r="K782" i="1"/>
  <c r="I782" i="1"/>
  <c r="H782" i="1"/>
  <c r="K781" i="1"/>
  <c r="I781" i="1"/>
  <c r="H781" i="1"/>
  <c r="K780" i="1"/>
  <c r="I780" i="1"/>
  <c r="H780" i="1"/>
  <c r="K779" i="1"/>
  <c r="I779" i="1"/>
  <c r="H779" i="1"/>
  <c r="K778" i="1"/>
  <c r="I778" i="1"/>
  <c r="H778" i="1"/>
  <c r="K777" i="1"/>
  <c r="I777" i="1"/>
  <c r="H777" i="1"/>
  <c r="K776" i="1"/>
  <c r="I776" i="1"/>
  <c r="H776" i="1"/>
  <c r="K775" i="1"/>
  <c r="I775" i="1"/>
  <c r="H775" i="1"/>
  <c r="K774" i="1"/>
  <c r="I774" i="1"/>
  <c r="H774" i="1"/>
  <c r="K773" i="1"/>
  <c r="I773" i="1"/>
  <c r="H773" i="1"/>
  <c r="K772" i="1"/>
  <c r="I772" i="1"/>
  <c r="H772" i="1"/>
  <c r="K771" i="1"/>
  <c r="I771" i="1"/>
  <c r="H771" i="1"/>
  <c r="K770" i="1"/>
  <c r="I770" i="1"/>
  <c r="H770" i="1"/>
  <c r="K769" i="1"/>
  <c r="I769" i="1"/>
  <c r="H769" i="1"/>
  <c r="K768" i="1"/>
  <c r="I768" i="1"/>
  <c r="H768" i="1"/>
  <c r="K767" i="1"/>
  <c r="I767" i="1"/>
  <c r="H767" i="1"/>
  <c r="K766" i="1"/>
  <c r="I766" i="1"/>
  <c r="H766" i="1"/>
  <c r="K765" i="1"/>
  <c r="I765" i="1"/>
  <c r="H765" i="1"/>
  <c r="K764" i="1"/>
  <c r="I764" i="1"/>
  <c r="H764" i="1"/>
  <c r="K763" i="1"/>
  <c r="I763" i="1"/>
  <c r="H763" i="1"/>
  <c r="K762" i="1"/>
  <c r="I762" i="1"/>
  <c r="H762" i="1"/>
  <c r="K761" i="1"/>
  <c r="I761" i="1"/>
  <c r="H761" i="1"/>
  <c r="K760" i="1"/>
  <c r="I760" i="1"/>
  <c r="H760" i="1"/>
  <c r="K759" i="1"/>
  <c r="I759" i="1"/>
  <c r="H759" i="1"/>
  <c r="K758" i="1"/>
  <c r="I758" i="1"/>
  <c r="H758" i="1"/>
  <c r="K757" i="1"/>
  <c r="I757" i="1"/>
  <c r="H757" i="1"/>
  <c r="K756" i="1"/>
  <c r="I756" i="1"/>
  <c r="H756" i="1"/>
  <c r="K755" i="1"/>
  <c r="I755" i="1"/>
  <c r="H755" i="1"/>
  <c r="K754" i="1"/>
  <c r="I754" i="1"/>
  <c r="H754" i="1"/>
  <c r="K753" i="1"/>
  <c r="I753" i="1"/>
  <c r="H753" i="1"/>
  <c r="K752" i="1"/>
  <c r="I752" i="1"/>
  <c r="H752" i="1"/>
  <c r="K751" i="1"/>
  <c r="I751" i="1"/>
  <c r="H751" i="1"/>
  <c r="K750" i="1"/>
  <c r="I750" i="1"/>
  <c r="H750" i="1"/>
  <c r="K749" i="1"/>
  <c r="I749" i="1"/>
  <c r="H749" i="1"/>
  <c r="K748" i="1"/>
  <c r="I748" i="1"/>
  <c r="H748" i="1"/>
  <c r="K747" i="1"/>
  <c r="I747" i="1"/>
  <c r="H747" i="1"/>
  <c r="K746" i="1"/>
  <c r="I746" i="1"/>
  <c r="H746" i="1"/>
  <c r="K745" i="1"/>
  <c r="I745" i="1"/>
  <c r="H745" i="1"/>
  <c r="K744" i="1"/>
  <c r="I744" i="1"/>
  <c r="H744" i="1"/>
  <c r="K743" i="1"/>
  <c r="I743" i="1"/>
  <c r="H743" i="1"/>
  <c r="K742" i="1"/>
  <c r="I742" i="1"/>
  <c r="H742" i="1"/>
  <c r="K741" i="1"/>
  <c r="I741" i="1"/>
  <c r="H741" i="1"/>
  <c r="K740" i="1"/>
  <c r="I740" i="1"/>
  <c r="H740" i="1"/>
  <c r="K739" i="1"/>
  <c r="I739" i="1"/>
  <c r="H739" i="1"/>
  <c r="K738" i="1"/>
  <c r="I738" i="1"/>
  <c r="H738" i="1"/>
  <c r="K737" i="1"/>
  <c r="I737" i="1"/>
  <c r="H737" i="1"/>
  <c r="K736" i="1"/>
  <c r="I736" i="1"/>
  <c r="H736" i="1"/>
  <c r="K735" i="1"/>
  <c r="I735" i="1"/>
  <c r="H735" i="1"/>
  <c r="K734" i="1"/>
  <c r="I734" i="1"/>
  <c r="H734" i="1"/>
  <c r="K733" i="1"/>
  <c r="I733" i="1"/>
  <c r="H733" i="1"/>
  <c r="K732" i="1"/>
  <c r="I732" i="1"/>
  <c r="H732" i="1"/>
  <c r="K731" i="1"/>
  <c r="I731" i="1"/>
  <c r="H731" i="1"/>
  <c r="K730" i="1"/>
  <c r="I730" i="1"/>
  <c r="H730" i="1"/>
  <c r="K729" i="1"/>
  <c r="I729" i="1"/>
  <c r="H729" i="1"/>
  <c r="K728" i="1"/>
  <c r="I728" i="1"/>
  <c r="H728" i="1"/>
  <c r="K727" i="1"/>
  <c r="I727" i="1"/>
  <c r="H727" i="1"/>
  <c r="K726" i="1"/>
  <c r="I726" i="1"/>
  <c r="H726" i="1"/>
  <c r="K725" i="1"/>
  <c r="I725" i="1"/>
  <c r="H725" i="1"/>
  <c r="K724" i="1"/>
  <c r="I724" i="1"/>
  <c r="H724" i="1"/>
  <c r="K723" i="1"/>
  <c r="I723" i="1"/>
  <c r="H723" i="1"/>
  <c r="K722" i="1"/>
  <c r="I722" i="1"/>
  <c r="H722" i="1"/>
  <c r="K721" i="1"/>
  <c r="I721" i="1"/>
  <c r="H721" i="1"/>
  <c r="K720" i="1"/>
  <c r="I720" i="1"/>
  <c r="H720" i="1"/>
  <c r="K719" i="1"/>
  <c r="I719" i="1"/>
  <c r="H719" i="1"/>
  <c r="K718" i="1"/>
  <c r="I718" i="1"/>
  <c r="H718" i="1"/>
  <c r="K717" i="1"/>
  <c r="I717" i="1"/>
  <c r="H717" i="1"/>
  <c r="K716" i="1"/>
  <c r="I716" i="1"/>
  <c r="H716" i="1"/>
  <c r="K715" i="1"/>
  <c r="I715" i="1"/>
  <c r="H715" i="1"/>
  <c r="K714" i="1"/>
  <c r="I714" i="1"/>
  <c r="H714" i="1"/>
  <c r="K713" i="1"/>
  <c r="I713" i="1"/>
  <c r="H713" i="1"/>
  <c r="K712" i="1"/>
  <c r="I712" i="1"/>
  <c r="H712" i="1"/>
  <c r="K711" i="1"/>
  <c r="I711" i="1"/>
  <c r="H711" i="1"/>
  <c r="K710" i="1"/>
  <c r="I710" i="1"/>
  <c r="H710" i="1"/>
  <c r="K709" i="1"/>
  <c r="I709" i="1"/>
  <c r="H709" i="1"/>
  <c r="K708" i="1"/>
  <c r="I708" i="1"/>
  <c r="H708" i="1"/>
  <c r="K707" i="1"/>
  <c r="I707" i="1"/>
  <c r="H707" i="1"/>
  <c r="K706" i="1"/>
  <c r="I706" i="1"/>
  <c r="H706" i="1"/>
  <c r="K705" i="1"/>
  <c r="I705" i="1"/>
  <c r="H705" i="1"/>
  <c r="K704" i="1"/>
  <c r="I704" i="1"/>
  <c r="H704" i="1"/>
  <c r="K703" i="1"/>
  <c r="I703" i="1"/>
  <c r="H703" i="1"/>
  <c r="K702" i="1"/>
  <c r="I702" i="1"/>
  <c r="H702" i="1"/>
  <c r="K701" i="1"/>
  <c r="I701" i="1"/>
  <c r="H701" i="1"/>
  <c r="K700" i="1"/>
  <c r="I700" i="1"/>
  <c r="H700" i="1"/>
  <c r="K699" i="1"/>
  <c r="I699" i="1"/>
  <c r="H699" i="1"/>
  <c r="K698" i="1"/>
  <c r="I698" i="1"/>
  <c r="H698" i="1"/>
  <c r="K697" i="1"/>
  <c r="I697" i="1"/>
  <c r="H697" i="1"/>
  <c r="K696" i="1"/>
  <c r="I696" i="1"/>
  <c r="H696" i="1"/>
  <c r="K695" i="1"/>
  <c r="I695" i="1"/>
  <c r="H695" i="1"/>
  <c r="K694" i="1"/>
  <c r="I694" i="1"/>
  <c r="H694" i="1"/>
  <c r="K693" i="1"/>
  <c r="I693" i="1"/>
  <c r="H693" i="1"/>
  <c r="K692" i="1"/>
  <c r="I692" i="1"/>
  <c r="H692" i="1"/>
  <c r="K691" i="1"/>
  <c r="I691" i="1"/>
  <c r="H691" i="1"/>
  <c r="K690" i="1"/>
  <c r="I690" i="1"/>
  <c r="H690" i="1"/>
  <c r="K689" i="1"/>
  <c r="I689" i="1"/>
  <c r="H689" i="1"/>
  <c r="K688" i="1"/>
  <c r="I688" i="1"/>
  <c r="H688" i="1"/>
  <c r="K687" i="1"/>
  <c r="I687" i="1"/>
  <c r="H687" i="1"/>
  <c r="K686" i="1"/>
  <c r="I686" i="1"/>
  <c r="H686" i="1"/>
  <c r="K685" i="1"/>
  <c r="I685" i="1"/>
  <c r="H685" i="1"/>
  <c r="K684" i="1"/>
  <c r="I684" i="1"/>
  <c r="H684" i="1"/>
  <c r="K683" i="1"/>
  <c r="I683" i="1"/>
  <c r="H683" i="1"/>
  <c r="K682" i="1"/>
  <c r="I682" i="1"/>
  <c r="H682" i="1"/>
  <c r="K681" i="1"/>
  <c r="I681" i="1"/>
  <c r="H681" i="1"/>
  <c r="K680" i="1"/>
  <c r="I680" i="1"/>
  <c r="H680" i="1"/>
  <c r="K679" i="1"/>
  <c r="I679" i="1"/>
  <c r="H679" i="1"/>
  <c r="K678" i="1"/>
  <c r="I678" i="1"/>
  <c r="H678" i="1"/>
  <c r="K677" i="1"/>
  <c r="I677" i="1"/>
  <c r="H677" i="1"/>
  <c r="K676" i="1"/>
  <c r="I676" i="1"/>
  <c r="H676" i="1"/>
  <c r="K675" i="1"/>
  <c r="I675" i="1"/>
  <c r="H675" i="1"/>
  <c r="K674" i="1"/>
  <c r="I674" i="1"/>
  <c r="H674" i="1"/>
  <c r="K673" i="1"/>
  <c r="I673" i="1"/>
  <c r="H673" i="1"/>
  <c r="K672" i="1"/>
  <c r="I672" i="1"/>
  <c r="H672" i="1"/>
  <c r="K671" i="1"/>
  <c r="I671" i="1"/>
  <c r="H671" i="1"/>
  <c r="K670" i="1"/>
  <c r="I670" i="1"/>
  <c r="H670" i="1"/>
  <c r="K669" i="1"/>
  <c r="I669" i="1"/>
  <c r="H669" i="1"/>
  <c r="K668" i="1"/>
  <c r="I668" i="1"/>
  <c r="H668" i="1"/>
  <c r="K667" i="1"/>
  <c r="I667" i="1"/>
  <c r="H667" i="1"/>
  <c r="K666" i="1"/>
  <c r="I666" i="1"/>
  <c r="H666" i="1"/>
  <c r="K665" i="1"/>
  <c r="I665" i="1"/>
  <c r="H665" i="1"/>
  <c r="K664" i="1"/>
  <c r="I664" i="1"/>
  <c r="H664" i="1"/>
  <c r="K663" i="1"/>
  <c r="I663" i="1"/>
  <c r="H663" i="1"/>
  <c r="K662" i="1"/>
  <c r="I662" i="1"/>
  <c r="H662" i="1"/>
  <c r="K661" i="1"/>
  <c r="I661" i="1"/>
  <c r="H661" i="1"/>
  <c r="K660" i="1"/>
  <c r="I660" i="1"/>
  <c r="H660" i="1"/>
  <c r="K659" i="1"/>
  <c r="I659" i="1"/>
  <c r="H659" i="1"/>
  <c r="K658" i="1"/>
  <c r="I658" i="1"/>
  <c r="H658" i="1"/>
  <c r="K657" i="1"/>
  <c r="I657" i="1"/>
  <c r="H657" i="1"/>
  <c r="K656" i="1"/>
  <c r="I656" i="1"/>
  <c r="H656" i="1"/>
  <c r="K655" i="1"/>
  <c r="I655" i="1"/>
  <c r="H655" i="1"/>
  <c r="K654" i="1"/>
  <c r="I654" i="1"/>
  <c r="H654" i="1"/>
  <c r="K653" i="1"/>
  <c r="I653" i="1"/>
  <c r="H653" i="1"/>
  <c r="K652" i="1"/>
  <c r="I652" i="1"/>
  <c r="H652" i="1"/>
  <c r="K651" i="1"/>
  <c r="I651" i="1"/>
  <c r="H651" i="1"/>
  <c r="K650" i="1"/>
  <c r="I650" i="1"/>
  <c r="H650" i="1"/>
  <c r="K649" i="1"/>
  <c r="I649" i="1"/>
  <c r="H649" i="1"/>
  <c r="K648" i="1"/>
  <c r="I648" i="1"/>
  <c r="H648" i="1"/>
  <c r="K647" i="1"/>
  <c r="I647" i="1"/>
  <c r="H647" i="1"/>
  <c r="K646" i="1"/>
  <c r="I646" i="1"/>
  <c r="H646" i="1"/>
  <c r="K645" i="1"/>
  <c r="I645" i="1"/>
  <c r="H645" i="1"/>
  <c r="K644" i="1"/>
  <c r="I644" i="1"/>
  <c r="H644" i="1"/>
  <c r="K643" i="1"/>
  <c r="I643" i="1"/>
  <c r="H643" i="1"/>
  <c r="K642" i="1"/>
  <c r="I642" i="1"/>
  <c r="H642" i="1"/>
  <c r="K641" i="1"/>
  <c r="I641" i="1"/>
  <c r="H641" i="1"/>
  <c r="K640" i="1"/>
  <c r="I640" i="1"/>
  <c r="H640" i="1"/>
  <c r="K639" i="1"/>
  <c r="I639" i="1"/>
  <c r="H639" i="1"/>
  <c r="K638" i="1"/>
  <c r="I638" i="1"/>
  <c r="H638" i="1"/>
  <c r="K637" i="1"/>
  <c r="I637" i="1"/>
  <c r="H637" i="1"/>
  <c r="K636" i="1"/>
  <c r="I636" i="1"/>
  <c r="H636" i="1"/>
  <c r="K635" i="1"/>
  <c r="I635" i="1"/>
  <c r="H635" i="1"/>
  <c r="K634" i="1"/>
  <c r="I634" i="1"/>
  <c r="H634" i="1"/>
  <c r="K633" i="1"/>
  <c r="I633" i="1"/>
  <c r="H633" i="1"/>
  <c r="K632" i="1"/>
  <c r="I632" i="1"/>
  <c r="H632" i="1"/>
  <c r="K631" i="1"/>
  <c r="I631" i="1"/>
  <c r="H631" i="1"/>
  <c r="K630" i="1"/>
  <c r="I630" i="1"/>
  <c r="H630" i="1"/>
  <c r="K629" i="1"/>
  <c r="I629" i="1"/>
  <c r="H629" i="1"/>
  <c r="K628" i="1"/>
  <c r="I628" i="1"/>
  <c r="H628" i="1"/>
  <c r="K627" i="1"/>
  <c r="I627" i="1"/>
  <c r="H627" i="1"/>
  <c r="K626" i="1"/>
  <c r="I626" i="1"/>
  <c r="H626" i="1"/>
  <c r="K625" i="1"/>
  <c r="I625" i="1"/>
  <c r="H625" i="1"/>
  <c r="K624" i="1"/>
  <c r="I624" i="1"/>
  <c r="H624" i="1"/>
  <c r="K623" i="1"/>
  <c r="I623" i="1"/>
  <c r="H623" i="1"/>
  <c r="K622" i="1"/>
  <c r="I622" i="1"/>
  <c r="H622" i="1"/>
  <c r="K621" i="1"/>
  <c r="I621" i="1"/>
  <c r="H621" i="1"/>
  <c r="K620" i="1"/>
  <c r="I620" i="1"/>
  <c r="H620" i="1"/>
  <c r="K619" i="1"/>
  <c r="I619" i="1"/>
  <c r="H619" i="1"/>
  <c r="K618" i="1"/>
  <c r="I618" i="1"/>
  <c r="H618" i="1"/>
  <c r="K617" i="1"/>
  <c r="I617" i="1"/>
  <c r="H617" i="1"/>
  <c r="K616" i="1"/>
  <c r="I616" i="1"/>
  <c r="H616" i="1"/>
  <c r="K615" i="1"/>
  <c r="I615" i="1"/>
  <c r="H615" i="1"/>
  <c r="K614" i="1"/>
  <c r="I614" i="1"/>
  <c r="H614" i="1"/>
  <c r="K613" i="1"/>
  <c r="I613" i="1"/>
  <c r="H613" i="1"/>
  <c r="K612" i="1"/>
  <c r="I612" i="1"/>
  <c r="H612" i="1"/>
  <c r="K611" i="1"/>
  <c r="I611" i="1"/>
  <c r="H611" i="1"/>
  <c r="K610" i="1"/>
  <c r="I610" i="1"/>
  <c r="H610" i="1"/>
  <c r="K609" i="1"/>
  <c r="I609" i="1"/>
  <c r="H609" i="1"/>
  <c r="K608" i="1"/>
  <c r="I608" i="1"/>
  <c r="H608" i="1"/>
  <c r="K607" i="1"/>
  <c r="I607" i="1"/>
  <c r="H607" i="1"/>
  <c r="K606" i="1"/>
  <c r="I606" i="1"/>
  <c r="H606" i="1"/>
  <c r="K605" i="1"/>
  <c r="I605" i="1"/>
  <c r="H605" i="1"/>
  <c r="K604" i="1"/>
  <c r="I604" i="1"/>
  <c r="H604" i="1"/>
  <c r="K603" i="1"/>
  <c r="I603" i="1"/>
  <c r="H603" i="1"/>
  <c r="K602" i="1"/>
  <c r="I602" i="1"/>
  <c r="H602" i="1"/>
  <c r="K601" i="1"/>
  <c r="I601" i="1"/>
  <c r="H601" i="1"/>
  <c r="K600" i="1"/>
  <c r="I600" i="1"/>
  <c r="H600" i="1"/>
  <c r="K599" i="1"/>
  <c r="I599" i="1"/>
  <c r="H599" i="1"/>
  <c r="K598" i="1"/>
  <c r="I598" i="1"/>
  <c r="H598" i="1"/>
  <c r="K597" i="1"/>
  <c r="I597" i="1"/>
  <c r="H597" i="1"/>
  <c r="K596" i="1"/>
  <c r="I596" i="1"/>
  <c r="H596" i="1"/>
  <c r="K595" i="1"/>
  <c r="I595" i="1"/>
  <c r="H595" i="1"/>
  <c r="K594" i="1"/>
  <c r="I594" i="1"/>
  <c r="H594" i="1"/>
  <c r="K593" i="1"/>
  <c r="I593" i="1"/>
  <c r="H593" i="1"/>
  <c r="K592" i="1"/>
  <c r="I592" i="1"/>
  <c r="H592" i="1"/>
  <c r="K591" i="1"/>
  <c r="I591" i="1"/>
  <c r="H591" i="1"/>
  <c r="K590" i="1"/>
  <c r="I590" i="1"/>
  <c r="H590" i="1"/>
  <c r="K589" i="1"/>
  <c r="I589" i="1"/>
  <c r="H589" i="1"/>
  <c r="K588" i="1"/>
  <c r="I588" i="1"/>
  <c r="H588" i="1"/>
  <c r="K587" i="1"/>
  <c r="I587" i="1"/>
  <c r="H587" i="1"/>
  <c r="K586" i="1"/>
  <c r="I586" i="1"/>
  <c r="H586" i="1"/>
  <c r="K585" i="1"/>
  <c r="I585" i="1"/>
  <c r="H585" i="1"/>
  <c r="K584" i="1"/>
  <c r="I584" i="1"/>
  <c r="H584" i="1"/>
  <c r="K583" i="1"/>
  <c r="I583" i="1"/>
  <c r="H583" i="1"/>
  <c r="K582" i="1"/>
  <c r="I582" i="1"/>
  <c r="H582" i="1"/>
  <c r="K581" i="1"/>
  <c r="I581" i="1"/>
  <c r="H581" i="1"/>
  <c r="K580" i="1"/>
  <c r="I580" i="1"/>
  <c r="H580" i="1"/>
  <c r="K579" i="1"/>
  <c r="I579" i="1"/>
  <c r="H579" i="1"/>
  <c r="K578" i="1"/>
  <c r="I578" i="1"/>
  <c r="H578" i="1"/>
  <c r="K577" i="1"/>
  <c r="I577" i="1"/>
  <c r="H577" i="1"/>
  <c r="K576" i="1"/>
  <c r="I576" i="1"/>
  <c r="H576" i="1"/>
  <c r="K575" i="1"/>
  <c r="I575" i="1"/>
  <c r="H575" i="1"/>
  <c r="K574" i="1"/>
  <c r="I574" i="1"/>
  <c r="H574" i="1"/>
  <c r="K573" i="1"/>
  <c r="I573" i="1"/>
  <c r="H573" i="1"/>
  <c r="K572" i="1"/>
  <c r="I572" i="1"/>
  <c r="H572" i="1"/>
  <c r="K571" i="1"/>
  <c r="I571" i="1"/>
  <c r="H571" i="1"/>
  <c r="K570" i="1"/>
  <c r="I570" i="1"/>
  <c r="H570" i="1"/>
  <c r="K569" i="1"/>
  <c r="I569" i="1"/>
  <c r="H569" i="1"/>
  <c r="K568" i="1"/>
  <c r="I568" i="1"/>
  <c r="H568" i="1"/>
  <c r="K567" i="1"/>
  <c r="I567" i="1"/>
  <c r="H567" i="1"/>
  <c r="K566" i="1"/>
  <c r="I566" i="1"/>
  <c r="H566" i="1"/>
  <c r="K565" i="1"/>
  <c r="I565" i="1"/>
  <c r="H565" i="1"/>
  <c r="K564" i="1"/>
  <c r="I564" i="1"/>
  <c r="H564" i="1"/>
  <c r="K563" i="1"/>
  <c r="I563" i="1"/>
  <c r="H563" i="1"/>
  <c r="K562" i="1"/>
  <c r="I562" i="1"/>
  <c r="H562" i="1"/>
  <c r="K561" i="1"/>
  <c r="I561" i="1"/>
  <c r="H561" i="1"/>
  <c r="K560" i="1"/>
  <c r="I560" i="1"/>
  <c r="H560" i="1"/>
  <c r="K559" i="1"/>
  <c r="I559" i="1"/>
  <c r="H559" i="1"/>
  <c r="K558" i="1"/>
  <c r="I558" i="1"/>
  <c r="H558" i="1"/>
  <c r="K557" i="1"/>
  <c r="I557" i="1"/>
  <c r="H557" i="1"/>
  <c r="K556" i="1"/>
  <c r="I556" i="1"/>
  <c r="H556" i="1"/>
  <c r="K555" i="1"/>
  <c r="I555" i="1"/>
  <c r="H555" i="1"/>
  <c r="K554" i="1"/>
  <c r="I554" i="1"/>
  <c r="H554" i="1"/>
  <c r="K553" i="1"/>
  <c r="I553" i="1"/>
  <c r="H553" i="1"/>
  <c r="K552" i="1"/>
  <c r="I552" i="1"/>
  <c r="H552" i="1"/>
  <c r="K551" i="1"/>
  <c r="I551" i="1"/>
  <c r="H551" i="1"/>
  <c r="K550" i="1"/>
  <c r="I550" i="1"/>
  <c r="H550" i="1"/>
  <c r="K549" i="1"/>
  <c r="I549" i="1"/>
  <c r="H549" i="1"/>
  <c r="K548" i="1"/>
  <c r="I548" i="1"/>
  <c r="H548" i="1"/>
  <c r="K547" i="1"/>
  <c r="I547" i="1"/>
  <c r="H547" i="1"/>
  <c r="K546" i="1"/>
  <c r="I546" i="1"/>
  <c r="H546" i="1"/>
  <c r="K545" i="1"/>
  <c r="I545" i="1"/>
  <c r="H545" i="1"/>
  <c r="K544" i="1"/>
  <c r="I544" i="1"/>
  <c r="H544" i="1"/>
  <c r="K543" i="1"/>
  <c r="I543" i="1"/>
  <c r="H543" i="1"/>
  <c r="K542" i="1"/>
  <c r="I542" i="1"/>
  <c r="H542" i="1"/>
  <c r="K541" i="1"/>
  <c r="I541" i="1"/>
  <c r="H541" i="1"/>
  <c r="K540" i="1"/>
  <c r="I540" i="1"/>
  <c r="H540" i="1"/>
  <c r="K539" i="1"/>
  <c r="I539" i="1"/>
  <c r="H539" i="1"/>
  <c r="K538" i="1"/>
  <c r="I538" i="1"/>
  <c r="H538" i="1"/>
  <c r="K537" i="1"/>
  <c r="I537" i="1"/>
  <c r="H537" i="1"/>
  <c r="K536" i="1"/>
  <c r="I536" i="1"/>
  <c r="H536" i="1"/>
  <c r="K535" i="1"/>
  <c r="I535" i="1"/>
  <c r="H535" i="1"/>
  <c r="K534" i="1"/>
  <c r="I534" i="1"/>
  <c r="H534" i="1"/>
  <c r="K533" i="1"/>
  <c r="I533" i="1"/>
  <c r="H533" i="1"/>
  <c r="K532" i="1"/>
  <c r="I532" i="1"/>
  <c r="H532" i="1"/>
  <c r="K531" i="1"/>
  <c r="I531" i="1"/>
  <c r="H531" i="1"/>
  <c r="K530" i="1"/>
  <c r="I530" i="1"/>
  <c r="H530" i="1"/>
  <c r="K529" i="1"/>
  <c r="I529" i="1"/>
  <c r="H529" i="1"/>
  <c r="K528" i="1"/>
  <c r="I528" i="1"/>
  <c r="H528" i="1"/>
  <c r="K527" i="1"/>
  <c r="I527" i="1"/>
  <c r="H527" i="1"/>
  <c r="K526" i="1"/>
  <c r="I526" i="1"/>
  <c r="H526" i="1"/>
  <c r="K525" i="1"/>
  <c r="I525" i="1"/>
  <c r="H525" i="1"/>
  <c r="K524" i="1"/>
  <c r="I524" i="1"/>
  <c r="H524" i="1"/>
  <c r="K523" i="1"/>
  <c r="I523" i="1"/>
  <c r="H523" i="1"/>
  <c r="K522" i="1"/>
  <c r="I522" i="1"/>
  <c r="H522" i="1"/>
  <c r="K521" i="1"/>
  <c r="I521" i="1"/>
  <c r="H521" i="1"/>
  <c r="K520" i="1"/>
  <c r="I520" i="1"/>
  <c r="H520" i="1"/>
  <c r="K519" i="1"/>
  <c r="I519" i="1"/>
  <c r="H519" i="1"/>
  <c r="K518" i="1"/>
  <c r="I518" i="1"/>
  <c r="H518" i="1"/>
  <c r="K517" i="1"/>
  <c r="I517" i="1"/>
  <c r="H517" i="1"/>
  <c r="K516" i="1"/>
  <c r="I516" i="1"/>
  <c r="H516" i="1"/>
  <c r="K515" i="1"/>
  <c r="I515" i="1"/>
  <c r="H515" i="1"/>
  <c r="K514" i="1"/>
  <c r="I514" i="1"/>
  <c r="H514" i="1"/>
  <c r="K513" i="1"/>
  <c r="I513" i="1"/>
  <c r="H513" i="1"/>
  <c r="K512" i="1"/>
  <c r="I512" i="1"/>
  <c r="H512" i="1"/>
  <c r="K511" i="1"/>
  <c r="I511" i="1"/>
  <c r="H511" i="1"/>
  <c r="K510" i="1"/>
  <c r="I510" i="1"/>
  <c r="H510" i="1"/>
  <c r="K509" i="1"/>
  <c r="I509" i="1"/>
  <c r="H509" i="1"/>
  <c r="K508" i="1"/>
  <c r="I508" i="1"/>
  <c r="H508" i="1"/>
  <c r="K507" i="1"/>
  <c r="I507" i="1"/>
  <c r="H507" i="1"/>
  <c r="K506" i="1"/>
  <c r="I506" i="1"/>
  <c r="H506" i="1"/>
  <c r="K505" i="1"/>
  <c r="I505" i="1"/>
  <c r="H505" i="1"/>
  <c r="K504" i="1"/>
  <c r="I504" i="1"/>
  <c r="H504" i="1"/>
  <c r="K503" i="1"/>
  <c r="I503" i="1"/>
  <c r="H503" i="1"/>
  <c r="K502" i="1"/>
  <c r="I502" i="1"/>
  <c r="H502" i="1"/>
  <c r="K501" i="1"/>
  <c r="I501" i="1"/>
  <c r="H501" i="1"/>
  <c r="K500" i="1"/>
  <c r="I500" i="1"/>
  <c r="H500" i="1"/>
  <c r="K499" i="1"/>
  <c r="I499" i="1"/>
  <c r="H499" i="1"/>
  <c r="K498" i="1"/>
  <c r="I498" i="1"/>
  <c r="H498" i="1"/>
  <c r="K497" i="1"/>
  <c r="I497" i="1"/>
  <c r="H497" i="1"/>
  <c r="K496" i="1"/>
  <c r="I496" i="1"/>
  <c r="H496" i="1"/>
  <c r="K495" i="1"/>
  <c r="I495" i="1"/>
  <c r="H495" i="1"/>
  <c r="K494" i="1"/>
  <c r="I494" i="1"/>
  <c r="H494" i="1"/>
  <c r="K493" i="1"/>
  <c r="I493" i="1"/>
  <c r="H493" i="1"/>
  <c r="K492" i="1"/>
  <c r="I492" i="1"/>
  <c r="H492" i="1"/>
  <c r="K491" i="1"/>
  <c r="I491" i="1"/>
  <c r="H491" i="1"/>
  <c r="K490" i="1"/>
  <c r="I490" i="1"/>
  <c r="H490" i="1"/>
  <c r="K489" i="1"/>
  <c r="I489" i="1"/>
  <c r="H489" i="1"/>
  <c r="K488" i="1"/>
  <c r="I488" i="1"/>
  <c r="H488" i="1"/>
  <c r="K487" i="1"/>
  <c r="I487" i="1"/>
  <c r="H487" i="1"/>
  <c r="K486" i="1"/>
  <c r="I486" i="1"/>
  <c r="H486" i="1"/>
  <c r="K485" i="1"/>
  <c r="I485" i="1"/>
  <c r="H485" i="1"/>
  <c r="K484" i="1"/>
  <c r="I484" i="1"/>
  <c r="H484" i="1"/>
  <c r="K483" i="1"/>
  <c r="I483" i="1"/>
  <c r="H483" i="1"/>
  <c r="K482" i="1"/>
  <c r="I482" i="1"/>
  <c r="H482" i="1"/>
  <c r="K481" i="1"/>
  <c r="I481" i="1"/>
  <c r="H481" i="1"/>
  <c r="K480" i="1"/>
  <c r="I480" i="1"/>
  <c r="H480" i="1"/>
  <c r="K479" i="1"/>
  <c r="I479" i="1"/>
  <c r="H479" i="1"/>
  <c r="K478" i="1"/>
  <c r="I478" i="1"/>
  <c r="H478" i="1"/>
  <c r="K477" i="1"/>
  <c r="I477" i="1"/>
  <c r="H477" i="1"/>
  <c r="K476" i="1"/>
  <c r="I476" i="1"/>
  <c r="H476" i="1"/>
  <c r="K475" i="1"/>
  <c r="I475" i="1"/>
  <c r="H475" i="1"/>
  <c r="K474" i="1"/>
  <c r="I474" i="1"/>
  <c r="H474" i="1"/>
  <c r="K473" i="1"/>
  <c r="I473" i="1"/>
  <c r="H473" i="1"/>
  <c r="K472" i="1"/>
  <c r="I472" i="1"/>
  <c r="H472" i="1"/>
  <c r="K471" i="1"/>
  <c r="I471" i="1"/>
  <c r="H471" i="1"/>
  <c r="K470" i="1"/>
  <c r="I470" i="1"/>
  <c r="H470" i="1"/>
  <c r="K469" i="1"/>
  <c r="I469" i="1"/>
  <c r="H469" i="1"/>
  <c r="K468" i="1"/>
  <c r="I468" i="1"/>
  <c r="H468" i="1"/>
  <c r="K467" i="1"/>
  <c r="I467" i="1"/>
  <c r="H467" i="1"/>
  <c r="K466" i="1"/>
  <c r="I466" i="1"/>
  <c r="H466" i="1"/>
  <c r="K465" i="1"/>
  <c r="I465" i="1"/>
  <c r="H465" i="1"/>
  <c r="K464" i="1"/>
  <c r="I464" i="1"/>
  <c r="H464" i="1"/>
  <c r="K463" i="1"/>
  <c r="I463" i="1"/>
  <c r="H463" i="1"/>
  <c r="K462" i="1"/>
  <c r="I462" i="1"/>
  <c r="H462" i="1"/>
  <c r="K461" i="1"/>
  <c r="I461" i="1"/>
  <c r="H461" i="1"/>
  <c r="K460" i="1"/>
  <c r="I460" i="1"/>
  <c r="H460" i="1"/>
  <c r="K459" i="1"/>
  <c r="I459" i="1"/>
  <c r="H459" i="1"/>
  <c r="K458" i="1"/>
  <c r="I458" i="1"/>
  <c r="H458" i="1"/>
  <c r="K457" i="1"/>
  <c r="I457" i="1"/>
  <c r="H457" i="1"/>
  <c r="K456" i="1"/>
  <c r="I456" i="1"/>
  <c r="H456" i="1"/>
  <c r="K455" i="1"/>
  <c r="I455" i="1"/>
  <c r="H455" i="1"/>
  <c r="K454" i="1"/>
  <c r="I454" i="1"/>
  <c r="H454" i="1"/>
  <c r="K453" i="1"/>
  <c r="I453" i="1"/>
  <c r="H453" i="1"/>
  <c r="K452" i="1"/>
  <c r="I452" i="1"/>
  <c r="H452" i="1"/>
  <c r="K451" i="1"/>
  <c r="I451" i="1"/>
  <c r="H451" i="1"/>
  <c r="K450" i="1"/>
  <c r="I450" i="1"/>
  <c r="H450" i="1"/>
  <c r="K449" i="1"/>
  <c r="I449" i="1"/>
  <c r="H449" i="1"/>
  <c r="K448" i="1"/>
  <c r="I448" i="1"/>
  <c r="H448" i="1"/>
  <c r="K447" i="1"/>
  <c r="I447" i="1"/>
  <c r="H447" i="1"/>
  <c r="K446" i="1"/>
  <c r="I446" i="1"/>
  <c r="H446" i="1"/>
  <c r="K445" i="1"/>
  <c r="I445" i="1"/>
  <c r="H445" i="1"/>
  <c r="K444" i="1"/>
  <c r="I444" i="1"/>
  <c r="H444" i="1"/>
  <c r="K443" i="1"/>
  <c r="I443" i="1"/>
  <c r="H443" i="1"/>
  <c r="K442" i="1"/>
  <c r="I442" i="1"/>
  <c r="H442" i="1"/>
  <c r="K441" i="1"/>
  <c r="I441" i="1"/>
  <c r="H441" i="1"/>
  <c r="K440" i="1"/>
  <c r="I440" i="1"/>
  <c r="H440" i="1"/>
  <c r="K439" i="1"/>
  <c r="I439" i="1"/>
  <c r="H439" i="1"/>
  <c r="K438" i="1"/>
  <c r="I438" i="1"/>
  <c r="H438" i="1"/>
  <c r="K437" i="1"/>
  <c r="I437" i="1"/>
  <c r="H437" i="1"/>
  <c r="K436" i="1"/>
  <c r="I436" i="1"/>
  <c r="H436" i="1"/>
  <c r="K435" i="1"/>
  <c r="I435" i="1"/>
  <c r="H435" i="1"/>
  <c r="K434" i="1"/>
  <c r="I434" i="1"/>
  <c r="H434" i="1"/>
  <c r="K433" i="1"/>
  <c r="I433" i="1"/>
  <c r="H433" i="1"/>
  <c r="K432" i="1"/>
  <c r="I432" i="1"/>
  <c r="H432" i="1"/>
  <c r="K431" i="1"/>
  <c r="I431" i="1"/>
  <c r="H431" i="1"/>
  <c r="K430" i="1"/>
  <c r="I430" i="1"/>
  <c r="H430" i="1"/>
  <c r="K429" i="1"/>
  <c r="I429" i="1"/>
  <c r="H429" i="1"/>
  <c r="K428" i="1"/>
  <c r="I428" i="1"/>
  <c r="H428" i="1"/>
  <c r="K427" i="1"/>
  <c r="I427" i="1"/>
  <c r="H427" i="1"/>
  <c r="K426" i="1"/>
  <c r="I426" i="1"/>
  <c r="H426" i="1"/>
  <c r="K425" i="1"/>
  <c r="I425" i="1"/>
  <c r="H425" i="1"/>
  <c r="K424" i="1"/>
  <c r="I424" i="1"/>
  <c r="H424" i="1"/>
  <c r="K423" i="1"/>
  <c r="I423" i="1"/>
  <c r="H423" i="1"/>
  <c r="K422" i="1"/>
  <c r="I422" i="1"/>
  <c r="H422" i="1"/>
  <c r="K421" i="1"/>
  <c r="I421" i="1"/>
  <c r="H421" i="1"/>
  <c r="K420" i="1"/>
  <c r="I420" i="1"/>
  <c r="H420" i="1"/>
  <c r="K419" i="1"/>
  <c r="I419" i="1"/>
  <c r="H419" i="1"/>
  <c r="K418" i="1"/>
  <c r="I418" i="1"/>
  <c r="H418" i="1"/>
  <c r="K417" i="1"/>
  <c r="I417" i="1"/>
  <c r="H417" i="1"/>
  <c r="K416" i="1"/>
  <c r="I416" i="1"/>
  <c r="H416" i="1"/>
  <c r="K415" i="1"/>
  <c r="I415" i="1"/>
  <c r="H415" i="1"/>
  <c r="K414" i="1"/>
  <c r="I414" i="1"/>
  <c r="H414" i="1"/>
  <c r="K413" i="1"/>
  <c r="I413" i="1"/>
  <c r="H413" i="1"/>
  <c r="K412" i="1"/>
  <c r="I412" i="1"/>
  <c r="H412" i="1"/>
  <c r="K411" i="1"/>
  <c r="I411" i="1"/>
  <c r="H411" i="1"/>
  <c r="K410" i="1"/>
  <c r="I410" i="1"/>
  <c r="H410" i="1"/>
  <c r="K409" i="1"/>
  <c r="I409" i="1"/>
  <c r="H409" i="1"/>
  <c r="K408" i="1"/>
  <c r="I408" i="1"/>
  <c r="H408" i="1"/>
  <c r="K407" i="1"/>
  <c r="I407" i="1"/>
  <c r="H407" i="1"/>
  <c r="K406" i="1"/>
  <c r="I406" i="1"/>
  <c r="H406" i="1"/>
  <c r="K405" i="1"/>
  <c r="I405" i="1"/>
  <c r="H405" i="1"/>
  <c r="K404" i="1"/>
  <c r="I404" i="1"/>
  <c r="H404" i="1"/>
  <c r="K403" i="1"/>
  <c r="I403" i="1"/>
  <c r="H403" i="1"/>
  <c r="K402" i="1"/>
  <c r="I402" i="1"/>
  <c r="H402" i="1"/>
  <c r="K401" i="1"/>
  <c r="I401" i="1"/>
  <c r="H401" i="1"/>
  <c r="K400" i="1"/>
  <c r="I400" i="1"/>
  <c r="H400" i="1"/>
  <c r="K399" i="1"/>
  <c r="I399" i="1"/>
  <c r="H399" i="1"/>
  <c r="K398" i="1"/>
  <c r="I398" i="1"/>
  <c r="H398" i="1"/>
  <c r="K397" i="1"/>
  <c r="I397" i="1"/>
  <c r="H397" i="1"/>
  <c r="K396" i="1"/>
  <c r="I396" i="1"/>
  <c r="H396" i="1"/>
  <c r="K395" i="1"/>
  <c r="I395" i="1"/>
  <c r="H395" i="1"/>
  <c r="K394" i="1"/>
  <c r="I394" i="1"/>
  <c r="H394" i="1"/>
  <c r="K393" i="1"/>
  <c r="I393" i="1"/>
  <c r="H393" i="1"/>
  <c r="K392" i="1"/>
  <c r="I392" i="1"/>
  <c r="H392" i="1"/>
  <c r="K391" i="1"/>
  <c r="I391" i="1"/>
  <c r="H391" i="1"/>
  <c r="K390" i="1"/>
  <c r="I390" i="1"/>
  <c r="H390" i="1"/>
  <c r="K389" i="1"/>
  <c r="I389" i="1"/>
  <c r="H389" i="1"/>
  <c r="K388" i="1"/>
  <c r="I388" i="1"/>
  <c r="H388" i="1"/>
  <c r="K387" i="1"/>
  <c r="I387" i="1"/>
  <c r="H387" i="1"/>
  <c r="K386" i="1"/>
  <c r="I386" i="1"/>
  <c r="H386" i="1"/>
  <c r="K385" i="1"/>
  <c r="I385" i="1"/>
  <c r="H385" i="1"/>
  <c r="K384" i="1"/>
  <c r="I384" i="1"/>
  <c r="H384" i="1"/>
  <c r="K383" i="1"/>
  <c r="I383" i="1"/>
  <c r="H383" i="1"/>
  <c r="K382" i="1"/>
  <c r="I382" i="1"/>
  <c r="H382" i="1"/>
  <c r="K381" i="1"/>
  <c r="I381" i="1"/>
  <c r="H381" i="1"/>
  <c r="K380" i="1"/>
  <c r="I380" i="1"/>
  <c r="H380" i="1"/>
  <c r="K379" i="1"/>
  <c r="I379" i="1"/>
  <c r="H379" i="1"/>
  <c r="K378" i="1"/>
  <c r="I378" i="1"/>
  <c r="H378" i="1"/>
  <c r="K377" i="1"/>
  <c r="I377" i="1"/>
  <c r="H377" i="1"/>
  <c r="K376" i="1"/>
  <c r="I376" i="1"/>
  <c r="H376" i="1"/>
  <c r="K375" i="1"/>
  <c r="I375" i="1"/>
  <c r="H375" i="1"/>
  <c r="K374" i="1"/>
  <c r="I374" i="1"/>
  <c r="H374" i="1"/>
  <c r="K373" i="1"/>
  <c r="I373" i="1"/>
  <c r="H373" i="1"/>
  <c r="K372" i="1"/>
  <c r="I372" i="1"/>
  <c r="H372" i="1"/>
  <c r="K371" i="1"/>
  <c r="I371" i="1"/>
  <c r="H371" i="1"/>
  <c r="K370" i="1"/>
  <c r="I370" i="1"/>
  <c r="H370" i="1"/>
  <c r="K369" i="1"/>
  <c r="I369" i="1"/>
  <c r="H369" i="1"/>
  <c r="K368" i="1"/>
  <c r="I368" i="1"/>
  <c r="H368" i="1"/>
  <c r="K367" i="1"/>
  <c r="I367" i="1"/>
  <c r="H367" i="1"/>
  <c r="K366" i="1"/>
  <c r="I366" i="1"/>
  <c r="H366" i="1"/>
  <c r="K365" i="1"/>
  <c r="I365" i="1"/>
  <c r="H365" i="1"/>
  <c r="K364" i="1"/>
  <c r="I364" i="1"/>
  <c r="H364" i="1"/>
  <c r="K363" i="1"/>
  <c r="I363" i="1"/>
  <c r="H363" i="1"/>
  <c r="K362" i="1"/>
  <c r="I362" i="1"/>
  <c r="H362" i="1"/>
  <c r="K361" i="1"/>
  <c r="I361" i="1"/>
  <c r="H361" i="1"/>
  <c r="K360" i="1"/>
  <c r="I360" i="1"/>
  <c r="H360" i="1"/>
  <c r="K359" i="1"/>
  <c r="I359" i="1"/>
  <c r="H359" i="1"/>
  <c r="K358" i="1"/>
  <c r="I358" i="1"/>
  <c r="H358" i="1"/>
  <c r="K357" i="1"/>
  <c r="I357" i="1"/>
  <c r="H357" i="1"/>
  <c r="K356" i="1"/>
  <c r="I356" i="1"/>
  <c r="H356" i="1"/>
  <c r="K355" i="1"/>
  <c r="I355" i="1"/>
  <c r="H355" i="1"/>
  <c r="K354" i="1"/>
  <c r="I354" i="1"/>
  <c r="H354" i="1"/>
  <c r="K353" i="1"/>
  <c r="I353" i="1"/>
  <c r="H353" i="1"/>
  <c r="K352" i="1"/>
  <c r="I352" i="1"/>
  <c r="H352" i="1"/>
  <c r="K351" i="1"/>
  <c r="I351" i="1"/>
  <c r="H351" i="1"/>
  <c r="K350" i="1"/>
  <c r="I350" i="1"/>
  <c r="H350" i="1"/>
  <c r="K349" i="1"/>
  <c r="I349" i="1"/>
  <c r="H349" i="1"/>
  <c r="K348" i="1"/>
  <c r="I348" i="1"/>
  <c r="H348" i="1"/>
  <c r="K347" i="1"/>
  <c r="I347" i="1"/>
  <c r="H347" i="1"/>
  <c r="K346" i="1"/>
  <c r="I346" i="1"/>
  <c r="H346" i="1"/>
  <c r="K345" i="1"/>
  <c r="I345" i="1"/>
  <c r="H345" i="1"/>
  <c r="K344" i="1"/>
  <c r="I344" i="1"/>
  <c r="H344" i="1"/>
  <c r="K343" i="1"/>
  <c r="I343" i="1"/>
  <c r="H343" i="1"/>
  <c r="K342" i="1"/>
  <c r="I342" i="1"/>
  <c r="H342" i="1"/>
  <c r="K341" i="1"/>
  <c r="I341" i="1"/>
  <c r="H341" i="1"/>
  <c r="K340" i="1"/>
  <c r="I340" i="1"/>
  <c r="H340" i="1"/>
  <c r="K339" i="1"/>
  <c r="I339" i="1"/>
  <c r="H339" i="1"/>
  <c r="K338" i="1"/>
  <c r="I338" i="1"/>
  <c r="H338" i="1"/>
  <c r="K337" i="1"/>
  <c r="I337" i="1"/>
  <c r="H337" i="1"/>
  <c r="K336" i="1"/>
  <c r="I336" i="1"/>
  <c r="H336" i="1"/>
  <c r="K335" i="1"/>
  <c r="I335" i="1"/>
  <c r="H335" i="1"/>
  <c r="K334" i="1"/>
  <c r="I334" i="1"/>
  <c r="H334" i="1"/>
  <c r="K333" i="1"/>
  <c r="I333" i="1"/>
  <c r="H333" i="1"/>
  <c r="K332" i="1"/>
  <c r="I332" i="1"/>
  <c r="H332" i="1"/>
  <c r="K331" i="1"/>
  <c r="I331" i="1"/>
  <c r="H331" i="1"/>
  <c r="K330" i="1"/>
  <c r="I330" i="1"/>
  <c r="H330" i="1"/>
  <c r="K329" i="1"/>
  <c r="I329" i="1"/>
  <c r="H329" i="1"/>
  <c r="K328" i="1"/>
  <c r="I328" i="1"/>
  <c r="H328" i="1"/>
  <c r="K327" i="1"/>
  <c r="I327" i="1"/>
  <c r="H327" i="1"/>
  <c r="K326" i="1"/>
  <c r="I326" i="1"/>
  <c r="H326" i="1"/>
  <c r="K325" i="1"/>
  <c r="I325" i="1"/>
  <c r="H325" i="1"/>
  <c r="K324" i="1"/>
  <c r="I324" i="1"/>
  <c r="H324" i="1"/>
  <c r="K323" i="1"/>
  <c r="I323" i="1"/>
  <c r="H323" i="1"/>
  <c r="K322" i="1"/>
  <c r="I322" i="1"/>
  <c r="H322" i="1"/>
  <c r="K321" i="1"/>
  <c r="I321" i="1"/>
  <c r="H321" i="1"/>
  <c r="K320" i="1"/>
  <c r="I320" i="1"/>
  <c r="H320" i="1"/>
  <c r="K319" i="1"/>
  <c r="I319" i="1"/>
  <c r="H319" i="1"/>
  <c r="K318" i="1"/>
  <c r="I318" i="1"/>
  <c r="H318" i="1"/>
  <c r="K317" i="1"/>
  <c r="I317" i="1"/>
  <c r="H317" i="1"/>
  <c r="K316" i="1"/>
  <c r="I316" i="1"/>
  <c r="H316" i="1"/>
  <c r="K315" i="1"/>
  <c r="I315" i="1"/>
  <c r="H315" i="1"/>
  <c r="K314" i="1"/>
  <c r="I314" i="1"/>
  <c r="H314" i="1"/>
  <c r="K313" i="1"/>
  <c r="I313" i="1"/>
  <c r="H313" i="1"/>
  <c r="K312" i="1"/>
  <c r="I312" i="1"/>
  <c r="H312" i="1"/>
  <c r="K311" i="1"/>
  <c r="I311" i="1"/>
  <c r="H311" i="1"/>
  <c r="K310" i="1"/>
  <c r="I310" i="1"/>
  <c r="H310" i="1"/>
  <c r="K309" i="1"/>
  <c r="I309" i="1"/>
  <c r="H309" i="1"/>
  <c r="K308" i="1"/>
  <c r="I308" i="1"/>
  <c r="H308" i="1"/>
  <c r="K307" i="1"/>
  <c r="I307" i="1"/>
  <c r="H307" i="1"/>
  <c r="K306" i="1"/>
  <c r="I306" i="1"/>
  <c r="H306" i="1"/>
  <c r="K305" i="1"/>
  <c r="I305" i="1"/>
  <c r="H305" i="1"/>
  <c r="K304" i="1"/>
  <c r="I304" i="1"/>
  <c r="H304" i="1"/>
  <c r="K303" i="1"/>
  <c r="I303" i="1"/>
  <c r="H303" i="1"/>
  <c r="K302" i="1"/>
  <c r="I302" i="1"/>
  <c r="H302" i="1"/>
  <c r="K301" i="1"/>
  <c r="I301" i="1"/>
  <c r="H301" i="1"/>
  <c r="K300" i="1"/>
  <c r="I300" i="1"/>
  <c r="H300" i="1"/>
  <c r="K299" i="1"/>
  <c r="I299" i="1"/>
  <c r="H299" i="1"/>
  <c r="K298" i="1"/>
  <c r="I298" i="1"/>
  <c r="H298" i="1"/>
  <c r="K297" i="1"/>
  <c r="I297" i="1"/>
  <c r="H297" i="1"/>
  <c r="K296" i="1"/>
  <c r="I296" i="1"/>
  <c r="H296" i="1"/>
  <c r="K295" i="1"/>
  <c r="I295" i="1"/>
  <c r="H295" i="1"/>
  <c r="K294" i="1"/>
  <c r="I294" i="1"/>
  <c r="H294" i="1"/>
  <c r="K293" i="1"/>
  <c r="I293" i="1"/>
  <c r="H293" i="1"/>
  <c r="K292" i="1"/>
  <c r="I292" i="1"/>
  <c r="H292" i="1"/>
  <c r="K291" i="1"/>
  <c r="I291" i="1"/>
  <c r="H291" i="1"/>
  <c r="K290" i="1"/>
  <c r="I290" i="1"/>
  <c r="H290" i="1"/>
  <c r="K289" i="1"/>
  <c r="I289" i="1"/>
  <c r="H289" i="1"/>
  <c r="K288" i="1"/>
  <c r="I288" i="1"/>
  <c r="H288" i="1"/>
  <c r="K287" i="1"/>
  <c r="I287" i="1"/>
  <c r="H287" i="1"/>
  <c r="K286" i="1"/>
  <c r="I286" i="1"/>
  <c r="H286" i="1"/>
  <c r="K285" i="1"/>
  <c r="I285" i="1"/>
  <c r="H285" i="1"/>
  <c r="K284" i="1"/>
  <c r="I284" i="1"/>
  <c r="H284" i="1"/>
  <c r="K283" i="1"/>
  <c r="I283" i="1"/>
  <c r="H283" i="1"/>
  <c r="K282" i="1"/>
  <c r="I282" i="1"/>
  <c r="H282" i="1"/>
  <c r="K281" i="1"/>
  <c r="I281" i="1"/>
  <c r="H281" i="1"/>
  <c r="K280" i="1"/>
  <c r="I280" i="1"/>
  <c r="H280" i="1"/>
  <c r="K279" i="1"/>
  <c r="I279" i="1"/>
  <c r="H279" i="1"/>
  <c r="K278" i="1"/>
  <c r="I278" i="1"/>
  <c r="H278" i="1"/>
  <c r="K277" i="1"/>
  <c r="I277" i="1"/>
  <c r="H277" i="1"/>
  <c r="K276" i="1"/>
  <c r="I276" i="1"/>
  <c r="H276" i="1"/>
  <c r="K275" i="1"/>
  <c r="I275" i="1"/>
  <c r="H275" i="1"/>
  <c r="K274" i="1"/>
  <c r="I274" i="1"/>
  <c r="H274" i="1"/>
  <c r="K273" i="1"/>
  <c r="I273" i="1"/>
  <c r="H273" i="1"/>
  <c r="K272" i="1"/>
  <c r="I272" i="1"/>
  <c r="H272" i="1"/>
  <c r="K271" i="1"/>
  <c r="I271" i="1"/>
  <c r="H271" i="1"/>
  <c r="K270" i="1"/>
  <c r="I270" i="1"/>
  <c r="H270" i="1"/>
  <c r="K269" i="1"/>
  <c r="I269" i="1"/>
  <c r="H269" i="1"/>
  <c r="K268" i="1"/>
  <c r="I268" i="1"/>
  <c r="H268" i="1"/>
  <c r="K267" i="1"/>
  <c r="I267" i="1"/>
  <c r="H267" i="1"/>
  <c r="K266" i="1"/>
  <c r="I266" i="1"/>
  <c r="H266" i="1"/>
  <c r="K265" i="1"/>
  <c r="I265" i="1"/>
  <c r="H265" i="1"/>
  <c r="K264" i="1"/>
  <c r="I264" i="1"/>
  <c r="H264" i="1"/>
  <c r="K263" i="1"/>
  <c r="I263" i="1"/>
  <c r="H263" i="1"/>
  <c r="K262" i="1"/>
  <c r="I262" i="1"/>
  <c r="H262" i="1"/>
  <c r="K261" i="1"/>
  <c r="I261" i="1"/>
  <c r="H261" i="1"/>
  <c r="K260" i="1"/>
  <c r="I260" i="1"/>
  <c r="H260" i="1"/>
  <c r="K259" i="1"/>
  <c r="I259" i="1"/>
  <c r="H259" i="1"/>
  <c r="K258" i="1"/>
  <c r="I258" i="1"/>
  <c r="H258" i="1"/>
  <c r="K257" i="1"/>
  <c r="I257" i="1"/>
  <c r="H257" i="1"/>
  <c r="K256" i="1"/>
  <c r="I256" i="1"/>
  <c r="H256" i="1"/>
  <c r="K255" i="1"/>
  <c r="I255" i="1"/>
  <c r="H255" i="1"/>
  <c r="K254" i="1"/>
  <c r="I254" i="1"/>
  <c r="H254" i="1"/>
  <c r="K253" i="1"/>
  <c r="I253" i="1"/>
  <c r="H253" i="1"/>
  <c r="K252" i="1"/>
  <c r="I252" i="1"/>
  <c r="H252" i="1"/>
  <c r="K251" i="1"/>
  <c r="I251" i="1"/>
  <c r="H251" i="1"/>
  <c r="K250" i="1"/>
  <c r="I250" i="1"/>
  <c r="H250" i="1"/>
  <c r="K249" i="1"/>
  <c r="I249" i="1"/>
  <c r="H249" i="1"/>
  <c r="K248" i="1"/>
  <c r="I248" i="1"/>
  <c r="H248" i="1"/>
  <c r="K247" i="1"/>
  <c r="I247" i="1"/>
  <c r="H247" i="1"/>
  <c r="K246" i="1"/>
  <c r="I246" i="1"/>
  <c r="H246" i="1"/>
  <c r="K245" i="1"/>
  <c r="I245" i="1"/>
  <c r="H245" i="1"/>
  <c r="K244" i="1"/>
  <c r="I244" i="1"/>
  <c r="H244" i="1"/>
  <c r="K243" i="1"/>
  <c r="I243" i="1"/>
  <c r="H243" i="1"/>
  <c r="K242" i="1"/>
  <c r="I242" i="1"/>
  <c r="H242" i="1"/>
  <c r="K241" i="1"/>
  <c r="I241" i="1"/>
  <c r="H241" i="1"/>
  <c r="K240" i="1"/>
  <c r="I240" i="1"/>
  <c r="H240" i="1"/>
  <c r="K239" i="1"/>
  <c r="I239" i="1"/>
  <c r="H239" i="1"/>
  <c r="K238" i="1"/>
  <c r="I238" i="1"/>
  <c r="H238" i="1"/>
  <c r="K237" i="1"/>
  <c r="I237" i="1"/>
  <c r="H237" i="1"/>
  <c r="K236" i="1"/>
  <c r="I236" i="1"/>
  <c r="H236" i="1"/>
  <c r="K235" i="1"/>
  <c r="I235" i="1"/>
  <c r="H235" i="1"/>
  <c r="K234" i="1"/>
  <c r="I234" i="1"/>
  <c r="H234" i="1"/>
  <c r="K233" i="1"/>
  <c r="I233" i="1"/>
  <c r="H233" i="1"/>
  <c r="K232" i="1"/>
  <c r="I232" i="1"/>
  <c r="H232" i="1"/>
  <c r="K231" i="1"/>
  <c r="I231" i="1"/>
  <c r="H231" i="1"/>
  <c r="K230" i="1"/>
  <c r="I230" i="1"/>
  <c r="H230" i="1"/>
  <c r="K229" i="1"/>
  <c r="I229" i="1"/>
  <c r="H229" i="1"/>
  <c r="K228" i="1"/>
  <c r="I228" i="1"/>
  <c r="H228" i="1"/>
  <c r="K227" i="1"/>
  <c r="I227" i="1"/>
  <c r="H227" i="1"/>
  <c r="K226" i="1"/>
  <c r="I226" i="1"/>
  <c r="H226" i="1"/>
  <c r="K225" i="1"/>
  <c r="I225" i="1"/>
  <c r="H225" i="1"/>
  <c r="K224" i="1"/>
  <c r="I224" i="1"/>
  <c r="H224" i="1"/>
  <c r="K223" i="1"/>
  <c r="I223" i="1"/>
  <c r="H223" i="1"/>
  <c r="K222" i="1"/>
  <c r="I222" i="1"/>
  <c r="H222" i="1"/>
  <c r="K221" i="1"/>
  <c r="I221" i="1"/>
  <c r="H221" i="1"/>
  <c r="K220" i="1"/>
  <c r="I220" i="1"/>
  <c r="H220" i="1"/>
  <c r="K219" i="1"/>
  <c r="I219" i="1"/>
  <c r="H219" i="1"/>
  <c r="K218" i="1"/>
  <c r="I218" i="1"/>
  <c r="H218" i="1"/>
  <c r="K217" i="1"/>
  <c r="I217" i="1"/>
  <c r="H217" i="1"/>
  <c r="K216" i="1"/>
  <c r="I216" i="1"/>
  <c r="H216" i="1"/>
  <c r="K215" i="1"/>
  <c r="I215" i="1"/>
  <c r="H215" i="1"/>
  <c r="K214" i="1"/>
  <c r="I214" i="1"/>
  <c r="H214" i="1"/>
  <c r="K213" i="1"/>
  <c r="I213" i="1"/>
  <c r="H213" i="1"/>
  <c r="K212" i="1"/>
  <c r="I212" i="1"/>
  <c r="H212" i="1"/>
  <c r="K211" i="1"/>
  <c r="I211" i="1"/>
  <c r="H211" i="1"/>
  <c r="K210" i="1"/>
  <c r="I210" i="1"/>
  <c r="H210" i="1"/>
  <c r="K209" i="1"/>
  <c r="I209" i="1"/>
  <c r="H209" i="1"/>
  <c r="K208" i="1"/>
  <c r="I208" i="1"/>
  <c r="H208" i="1"/>
  <c r="K207" i="1"/>
  <c r="I207" i="1"/>
  <c r="H207" i="1"/>
  <c r="K206" i="1"/>
  <c r="I206" i="1"/>
  <c r="H206" i="1"/>
  <c r="K205" i="1"/>
  <c r="I205" i="1"/>
  <c r="H205" i="1"/>
  <c r="K204" i="1"/>
  <c r="I204" i="1"/>
  <c r="H204" i="1"/>
  <c r="K203" i="1"/>
  <c r="I203" i="1"/>
  <c r="H203" i="1"/>
  <c r="K202" i="1"/>
  <c r="I202" i="1"/>
  <c r="H202" i="1"/>
  <c r="K201" i="1"/>
  <c r="I201" i="1"/>
  <c r="H201" i="1"/>
  <c r="K200" i="1"/>
  <c r="I200" i="1"/>
  <c r="H200" i="1"/>
  <c r="K199" i="1"/>
  <c r="I199" i="1"/>
  <c r="H199" i="1"/>
  <c r="K198" i="1"/>
  <c r="I198" i="1"/>
  <c r="H198" i="1"/>
  <c r="K197" i="1"/>
  <c r="I197" i="1"/>
  <c r="H197" i="1"/>
  <c r="K196" i="1"/>
  <c r="I196" i="1"/>
  <c r="H196" i="1"/>
  <c r="K195" i="1"/>
  <c r="I195" i="1"/>
  <c r="H195" i="1"/>
  <c r="K194" i="1"/>
  <c r="I194" i="1"/>
  <c r="H194" i="1"/>
  <c r="K193" i="1"/>
  <c r="I193" i="1"/>
  <c r="H193" i="1"/>
  <c r="K192" i="1"/>
  <c r="I192" i="1"/>
  <c r="H192" i="1"/>
  <c r="K191" i="1"/>
  <c r="I191" i="1"/>
  <c r="H191" i="1"/>
  <c r="K190" i="1"/>
  <c r="I190" i="1"/>
  <c r="H190" i="1"/>
  <c r="K189" i="1"/>
  <c r="I189" i="1"/>
  <c r="H189" i="1"/>
  <c r="K188" i="1"/>
  <c r="I188" i="1"/>
  <c r="H188" i="1"/>
  <c r="K187" i="1"/>
  <c r="I187" i="1"/>
  <c r="H187" i="1"/>
  <c r="K186" i="1"/>
  <c r="I186" i="1"/>
  <c r="H186" i="1"/>
  <c r="K185" i="1"/>
  <c r="I185" i="1"/>
  <c r="H185" i="1"/>
  <c r="K184" i="1"/>
  <c r="I184" i="1"/>
  <c r="H184" i="1"/>
  <c r="K183" i="1"/>
  <c r="I183" i="1"/>
  <c r="H183" i="1"/>
  <c r="K182" i="1"/>
  <c r="I182" i="1"/>
  <c r="H182" i="1"/>
  <c r="K181" i="1"/>
  <c r="I181" i="1"/>
  <c r="H181" i="1"/>
  <c r="K180" i="1"/>
  <c r="I180" i="1"/>
  <c r="H180" i="1"/>
  <c r="K179" i="1"/>
  <c r="I179" i="1"/>
  <c r="H179" i="1"/>
  <c r="K178" i="1"/>
  <c r="I178" i="1"/>
  <c r="H178" i="1"/>
  <c r="K177" i="1"/>
  <c r="I177" i="1"/>
  <c r="H177" i="1"/>
  <c r="K176" i="1"/>
  <c r="I176" i="1"/>
  <c r="H176" i="1"/>
  <c r="K175" i="1"/>
  <c r="I175" i="1"/>
  <c r="H175" i="1"/>
  <c r="K174" i="1"/>
  <c r="I174" i="1"/>
  <c r="H174" i="1"/>
  <c r="K173" i="1"/>
  <c r="I173" i="1"/>
  <c r="H173" i="1"/>
  <c r="K172" i="1"/>
  <c r="I172" i="1"/>
  <c r="H172" i="1"/>
  <c r="K171" i="1"/>
  <c r="I171" i="1"/>
  <c r="H171" i="1"/>
  <c r="K170" i="1"/>
  <c r="I170" i="1"/>
  <c r="H170" i="1"/>
  <c r="K169" i="1"/>
  <c r="I169" i="1"/>
  <c r="H169" i="1"/>
  <c r="K168" i="1"/>
  <c r="I168" i="1"/>
  <c r="H168" i="1"/>
  <c r="K167" i="1"/>
  <c r="I167" i="1"/>
  <c r="H167" i="1"/>
  <c r="K166" i="1"/>
  <c r="I166" i="1"/>
  <c r="H166" i="1"/>
  <c r="K165" i="1"/>
  <c r="I165" i="1"/>
  <c r="H165" i="1"/>
  <c r="K164" i="1"/>
  <c r="I164" i="1"/>
  <c r="H164" i="1"/>
  <c r="K163" i="1"/>
  <c r="I163" i="1"/>
  <c r="H163" i="1"/>
  <c r="K162" i="1"/>
  <c r="I162" i="1"/>
  <c r="H162" i="1"/>
  <c r="K161" i="1"/>
  <c r="I161" i="1"/>
  <c r="H161" i="1"/>
  <c r="K160" i="1"/>
  <c r="I160" i="1"/>
  <c r="H160" i="1"/>
  <c r="K159" i="1"/>
  <c r="I159" i="1"/>
  <c r="H159" i="1"/>
  <c r="K158" i="1"/>
  <c r="I158" i="1"/>
  <c r="H158" i="1"/>
  <c r="K157" i="1"/>
  <c r="I157" i="1"/>
  <c r="H157" i="1"/>
  <c r="K156" i="1"/>
  <c r="I156" i="1"/>
  <c r="H156" i="1"/>
  <c r="K155" i="1"/>
  <c r="I155" i="1"/>
  <c r="H155" i="1"/>
  <c r="K154" i="1"/>
  <c r="I154" i="1"/>
  <c r="H154" i="1"/>
  <c r="K153" i="1"/>
  <c r="I153" i="1"/>
  <c r="H153" i="1"/>
  <c r="K152" i="1"/>
  <c r="I152" i="1"/>
  <c r="H152" i="1"/>
  <c r="K151" i="1"/>
  <c r="I151" i="1"/>
  <c r="H151" i="1"/>
  <c r="K150" i="1"/>
  <c r="I150" i="1"/>
  <c r="H150" i="1"/>
  <c r="K149" i="1"/>
  <c r="I149" i="1"/>
  <c r="H149" i="1"/>
  <c r="K148" i="1"/>
  <c r="I148" i="1"/>
  <c r="H148" i="1"/>
  <c r="K147" i="1"/>
  <c r="I147" i="1"/>
  <c r="H147" i="1"/>
  <c r="K146" i="1"/>
  <c r="I146" i="1"/>
  <c r="H146" i="1"/>
  <c r="K145" i="1"/>
  <c r="I145" i="1"/>
  <c r="H145" i="1"/>
  <c r="K144" i="1"/>
  <c r="I144" i="1"/>
  <c r="H144" i="1"/>
  <c r="K143" i="1"/>
  <c r="I143" i="1"/>
  <c r="H143" i="1"/>
  <c r="K142" i="1"/>
  <c r="I142" i="1"/>
  <c r="H142" i="1"/>
  <c r="K141" i="1"/>
  <c r="I141" i="1"/>
  <c r="H141" i="1"/>
  <c r="K140" i="1"/>
  <c r="I140" i="1"/>
  <c r="H140" i="1"/>
  <c r="K139" i="1"/>
  <c r="I139" i="1"/>
  <c r="H139" i="1"/>
  <c r="K138" i="1"/>
  <c r="I138" i="1"/>
  <c r="H138" i="1"/>
  <c r="K137" i="1"/>
  <c r="I137" i="1"/>
  <c r="H137" i="1"/>
  <c r="K136" i="1"/>
  <c r="I136" i="1"/>
  <c r="H136" i="1"/>
  <c r="K135" i="1"/>
  <c r="I135" i="1"/>
  <c r="H135" i="1"/>
  <c r="K134" i="1"/>
  <c r="I134" i="1"/>
  <c r="H134" i="1"/>
  <c r="K133" i="1"/>
  <c r="I133" i="1"/>
  <c r="H133" i="1"/>
  <c r="K132" i="1"/>
  <c r="I132" i="1"/>
  <c r="H132" i="1"/>
  <c r="K131" i="1"/>
  <c r="I131" i="1"/>
  <c r="H131" i="1"/>
  <c r="K130" i="1"/>
  <c r="I130" i="1"/>
  <c r="H130" i="1"/>
  <c r="K129" i="1"/>
  <c r="I129" i="1"/>
  <c r="H129" i="1"/>
  <c r="K128" i="1"/>
  <c r="I128" i="1"/>
  <c r="H128" i="1"/>
  <c r="K127" i="1"/>
  <c r="I127" i="1"/>
  <c r="H127" i="1"/>
  <c r="K126" i="1"/>
  <c r="I126" i="1"/>
  <c r="H126" i="1"/>
  <c r="K125" i="1"/>
  <c r="I125" i="1"/>
  <c r="H125" i="1"/>
  <c r="K124" i="1"/>
  <c r="I124" i="1"/>
  <c r="H124" i="1"/>
  <c r="K123" i="1"/>
  <c r="I123" i="1"/>
  <c r="H123" i="1"/>
  <c r="K122" i="1"/>
  <c r="I122" i="1"/>
  <c r="H122" i="1"/>
  <c r="K121" i="1"/>
  <c r="I121" i="1"/>
  <c r="H121" i="1"/>
  <c r="K120" i="1"/>
  <c r="I120" i="1"/>
  <c r="H120" i="1"/>
  <c r="K119" i="1"/>
  <c r="I119" i="1"/>
  <c r="H119" i="1"/>
  <c r="K118" i="1"/>
  <c r="I118" i="1"/>
  <c r="H118" i="1"/>
  <c r="K117" i="1"/>
  <c r="I117" i="1"/>
  <c r="H117" i="1"/>
  <c r="K116" i="1"/>
  <c r="I116" i="1"/>
  <c r="H116" i="1"/>
  <c r="K115" i="1"/>
  <c r="I115" i="1"/>
  <c r="H115" i="1"/>
  <c r="K114" i="1"/>
  <c r="I114" i="1"/>
  <c r="H114" i="1"/>
  <c r="K113" i="1"/>
  <c r="I113" i="1"/>
  <c r="H113" i="1"/>
  <c r="K112" i="1"/>
  <c r="I112" i="1"/>
  <c r="H112" i="1"/>
  <c r="K111" i="1"/>
  <c r="I111" i="1"/>
  <c r="H111" i="1"/>
  <c r="K110" i="1"/>
  <c r="I110" i="1"/>
  <c r="H110" i="1"/>
  <c r="K109" i="1"/>
  <c r="I109" i="1"/>
  <c r="H109" i="1"/>
  <c r="K108" i="1"/>
  <c r="I108" i="1"/>
  <c r="H108" i="1"/>
  <c r="K107" i="1"/>
  <c r="I107" i="1"/>
  <c r="H107" i="1"/>
  <c r="K106" i="1"/>
  <c r="I106" i="1"/>
  <c r="H106" i="1"/>
  <c r="K105" i="1"/>
  <c r="I105" i="1"/>
  <c r="H105" i="1"/>
  <c r="K104" i="1"/>
  <c r="I104" i="1"/>
  <c r="H104" i="1"/>
  <c r="K103" i="1"/>
  <c r="I103" i="1"/>
  <c r="H103" i="1"/>
  <c r="K102" i="1"/>
  <c r="I102" i="1"/>
  <c r="H102" i="1"/>
  <c r="K101" i="1"/>
  <c r="I101" i="1"/>
  <c r="H101" i="1"/>
  <c r="K100" i="1"/>
  <c r="I100" i="1"/>
  <c r="H100" i="1"/>
  <c r="K99" i="1"/>
  <c r="I99" i="1"/>
  <c r="H99" i="1"/>
  <c r="K98" i="1"/>
  <c r="I98" i="1"/>
  <c r="H98" i="1"/>
  <c r="K97" i="1"/>
  <c r="I97" i="1"/>
  <c r="H97" i="1"/>
  <c r="K96" i="1"/>
  <c r="I96" i="1"/>
  <c r="H96" i="1"/>
  <c r="K95" i="1"/>
  <c r="I95" i="1"/>
  <c r="H95" i="1"/>
  <c r="K94" i="1"/>
  <c r="I94" i="1"/>
  <c r="H94" i="1"/>
  <c r="K93" i="1"/>
  <c r="I93" i="1"/>
  <c r="H93" i="1"/>
  <c r="K92" i="1"/>
  <c r="I92" i="1"/>
  <c r="H92" i="1"/>
  <c r="K91" i="1"/>
  <c r="I91" i="1"/>
  <c r="H91" i="1"/>
  <c r="K90" i="1"/>
  <c r="I90" i="1"/>
  <c r="H90" i="1"/>
  <c r="K89" i="1"/>
  <c r="I89" i="1"/>
  <c r="H89" i="1"/>
  <c r="K88" i="1"/>
  <c r="I88" i="1"/>
  <c r="H88" i="1"/>
  <c r="K87" i="1"/>
  <c r="I87" i="1"/>
  <c r="H87" i="1"/>
  <c r="K86" i="1"/>
  <c r="I86" i="1"/>
  <c r="H86" i="1"/>
  <c r="K85" i="1"/>
  <c r="I85" i="1"/>
  <c r="H85" i="1"/>
  <c r="K84" i="1"/>
  <c r="I84" i="1"/>
  <c r="H84" i="1"/>
  <c r="K83" i="1"/>
  <c r="I83" i="1"/>
  <c r="H83" i="1"/>
  <c r="K82" i="1"/>
  <c r="I82" i="1"/>
  <c r="H82" i="1"/>
  <c r="K81" i="1"/>
  <c r="I81" i="1"/>
  <c r="H81" i="1"/>
  <c r="K80" i="1"/>
  <c r="I80" i="1"/>
  <c r="H80" i="1"/>
  <c r="K79" i="1"/>
  <c r="I79" i="1"/>
  <c r="H79" i="1"/>
  <c r="K78" i="1"/>
  <c r="I78" i="1"/>
  <c r="H78" i="1"/>
  <c r="K77" i="1"/>
  <c r="I77" i="1"/>
  <c r="H77" i="1"/>
  <c r="K76" i="1"/>
  <c r="I76" i="1"/>
  <c r="H76" i="1"/>
  <c r="K75" i="1"/>
  <c r="I75" i="1"/>
  <c r="H75" i="1"/>
  <c r="K74" i="1"/>
  <c r="I74" i="1"/>
  <c r="H74" i="1"/>
  <c r="K73" i="1"/>
  <c r="I73" i="1"/>
  <c r="H73" i="1"/>
  <c r="K72" i="1"/>
  <c r="I72" i="1"/>
  <c r="H72" i="1"/>
  <c r="K71" i="1"/>
  <c r="I71" i="1"/>
  <c r="H71" i="1"/>
  <c r="K70" i="1"/>
  <c r="I70" i="1"/>
  <c r="H70" i="1"/>
  <c r="K69" i="1"/>
  <c r="I69" i="1"/>
  <c r="H69" i="1"/>
  <c r="K68" i="1"/>
  <c r="I68" i="1"/>
  <c r="H68" i="1"/>
  <c r="K67" i="1"/>
  <c r="I67" i="1"/>
  <c r="H67" i="1"/>
  <c r="K66" i="1"/>
  <c r="I66" i="1"/>
  <c r="H66" i="1"/>
  <c r="K65" i="1"/>
  <c r="I65" i="1"/>
  <c r="H65" i="1"/>
  <c r="K64" i="1"/>
  <c r="I64" i="1"/>
  <c r="H64" i="1"/>
  <c r="K63" i="1"/>
  <c r="I63" i="1"/>
  <c r="H63" i="1"/>
  <c r="K62" i="1"/>
  <c r="I62" i="1"/>
  <c r="H62" i="1"/>
  <c r="K61" i="1"/>
  <c r="I61" i="1"/>
  <c r="H61" i="1"/>
  <c r="K60" i="1"/>
  <c r="I60" i="1"/>
  <c r="H60" i="1"/>
  <c r="K59" i="1"/>
  <c r="I59" i="1"/>
  <c r="H59" i="1"/>
  <c r="K58" i="1"/>
  <c r="I58" i="1"/>
  <c r="H58" i="1"/>
  <c r="K57" i="1"/>
  <c r="I57" i="1"/>
  <c r="H57" i="1"/>
  <c r="K56" i="1"/>
  <c r="I56" i="1"/>
  <c r="H56" i="1"/>
  <c r="K55" i="1"/>
  <c r="I55" i="1"/>
  <c r="H55" i="1"/>
  <c r="K54" i="1"/>
  <c r="I54" i="1"/>
  <c r="H54" i="1"/>
  <c r="K53" i="1"/>
  <c r="I53" i="1"/>
  <c r="H53" i="1"/>
  <c r="K52" i="1"/>
  <c r="I52" i="1"/>
  <c r="H52" i="1"/>
  <c r="K51" i="1"/>
  <c r="I51" i="1"/>
  <c r="H51" i="1"/>
  <c r="K50" i="1"/>
  <c r="I50" i="1"/>
  <c r="H50" i="1"/>
  <c r="K49" i="1"/>
  <c r="I49" i="1"/>
  <c r="H49" i="1"/>
  <c r="K48" i="1"/>
  <c r="I48" i="1"/>
  <c r="H48" i="1"/>
  <c r="K47" i="1"/>
  <c r="I47" i="1"/>
  <c r="H47" i="1"/>
  <c r="K46" i="1"/>
  <c r="I46" i="1"/>
  <c r="H46" i="1"/>
  <c r="K45" i="1"/>
  <c r="I45" i="1"/>
  <c r="H45" i="1"/>
  <c r="K44" i="1"/>
  <c r="I44" i="1"/>
  <c r="H44" i="1"/>
  <c r="K43" i="1"/>
  <c r="I43" i="1"/>
  <c r="H43" i="1"/>
  <c r="K42" i="1"/>
  <c r="I42" i="1"/>
  <c r="H42" i="1"/>
  <c r="K41" i="1"/>
  <c r="I41" i="1"/>
  <c r="H41" i="1"/>
  <c r="K40" i="1"/>
  <c r="I40" i="1"/>
  <c r="H40" i="1"/>
  <c r="K39" i="1"/>
  <c r="I39" i="1"/>
  <c r="H39" i="1"/>
  <c r="K38" i="1"/>
  <c r="I38" i="1"/>
  <c r="H38" i="1"/>
  <c r="K37" i="1"/>
  <c r="I37" i="1"/>
  <c r="H37" i="1"/>
  <c r="K36" i="1"/>
  <c r="I36" i="1"/>
  <c r="H36" i="1"/>
  <c r="K35" i="1"/>
  <c r="I35" i="1"/>
  <c r="H35" i="1"/>
  <c r="K34" i="1"/>
  <c r="I34" i="1"/>
  <c r="H34" i="1"/>
  <c r="K33" i="1"/>
  <c r="I33" i="1"/>
  <c r="H33" i="1"/>
  <c r="K32" i="1"/>
  <c r="I32" i="1"/>
  <c r="H32" i="1"/>
  <c r="K31" i="1"/>
  <c r="I31" i="1"/>
  <c r="H31" i="1"/>
  <c r="K30" i="1"/>
  <c r="I30" i="1"/>
  <c r="H30" i="1"/>
  <c r="K29" i="1"/>
  <c r="I29" i="1"/>
  <c r="H29" i="1"/>
  <c r="K28" i="1"/>
  <c r="I28" i="1"/>
  <c r="H28" i="1"/>
  <c r="K27" i="1"/>
  <c r="I27" i="1"/>
  <c r="H27" i="1"/>
  <c r="K26" i="1"/>
  <c r="I26" i="1"/>
  <c r="H26" i="1"/>
  <c r="K25" i="1"/>
  <c r="I25" i="1"/>
  <c r="H25" i="1"/>
  <c r="K24" i="1"/>
  <c r="I24" i="1"/>
  <c r="H24" i="1"/>
  <c r="K23" i="1"/>
  <c r="I23" i="1"/>
  <c r="H23" i="1"/>
  <c r="K22" i="1"/>
  <c r="I22" i="1"/>
  <c r="H22" i="1"/>
  <c r="K21" i="1"/>
  <c r="I21" i="1"/>
  <c r="H21" i="1"/>
  <c r="K20" i="1"/>
  <c r="I20" i="1"/>
  <c r="H20" i="1"/>
  <c r="K19" i="1"/>
  <c r="I19" i="1"/>
  <c r="H19" i="1"/>
  <c r="K18" i="1"/>
  <c r="I18" i="1"/>
  <c r="H18" i="1"/>
  <c r="K17" i="1"/>
  <c r="I17" i="1"/>
  <c r="H17" i="1"/>
  <c r="K16" i="1"/>
  <c r="I16" i="1"/>
  <c r="H16" i="1"/>
  <c r="K15" i="1"/>
  <c r="I15" i="1"/>
  <c r="H15" i="1"/>
  <c r="K14" i="1"/>
  <c r="I14" i="1"/>
  <c r="H14" i="1"/>
  <c r="K13" i="1"/>
  <c r="I13" i="1"/>
  <c r="H13" i="1"/>
  <c r="K12" i="1"/>
  <c r="I12" i="1"/>
  <c r="H12" i="1"/>
  <c r="K11" i="1"/>
  <c r="I11" i="1"/>
  <c r="H11" i="1"/>
  <c r="K10" i="1"/>
  <c r="I10" i="1"/>
  <c r="H10" i="1"/>
  <c r="K9" i="1"/>
  <c r="I9" i="1"/>
  <c r="H9" i="1"/>
  <c r="K8" i="1"/>
  <c r="I8" i="1"/>
  <c r="H8" i="1"/>
  <c r="K7" i="1"/>
  <c r="I7" i="1"/>
  <c r="H7" i="1"/>
  <c r="K6" i="1"/>
  <c r="I6" i="1"/>
  <c r="H6" i="1"/>
  <c r="K5" i="1"/>
  <c r="I5" i="1"/>
  <c r="H5" i="1"/>
  <c r="K4" i="1"/>
  <c r="I4" i="1"/>
  <c r="H4" i="1"/>
  <c r="K3" i="1"/>
  <c r="I3" i="1"/>
  <c r="H3" i="1"/>
  <c r="K2" i="1"/>
  <c r="I2" i="1"/>
  <c r="H2" i="1"/>
</calcChain>
</file>

<file path=xl/sharedStrings.xml><?xml version="1.0" encoding="utf-8"?>
<sst xmlns="http://schemas.openxmlformats.org/spreadsheetml/2006/main" count="4088" uniqueCount="1062">
  <si>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</si>
  <si>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</si>
  <si>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</si>
  <si>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</si>
  <si>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</si>
  <si>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</si>
  <si>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</si>
  <si>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Financial Year</t>
  </si>
  <si>
    <t>Day of week</t>
  </si>
  <si>
    <t>Duration Bucket</t>
  </si>
  <si>
    <t>Rating rounded</t>
  </si>
  <si>
    <t>Call_7271</t>
  </si>
  <si>
    <t>C0003</t>
  </si>
  <si>
    <t>R05</t>
  </si>
  <si>
    <t>1 to 2 hours</t>
  </si>
  <si>
    <t>Call_7272</t>
  </si>
  <si>
    <t>C0004</t>
  </si>
  <si>
    <t>Call_7273</t>
  </si>
  <si>
    <t>C0005</t>
  </si>
  <si>
    <t>R02</t>
  </si>
  <si>
    <t>Call_7274</t>
  </si>
  <si>
    <t>C0014</t>
  </si>
  <si>
    <t>Call_7275</t>
  </si>
  <si>
    <t>C0011</t>
  </si>
  <si>
    <t>R01</t>
  </si>
  <si>
    <t>More than 2 hours</t>
  </si>
  <si>
    <t>Call_7276</t>
  </si>
  <si>
    <t>30 to 60 mins</t>
  </si>
  <si>
    <t>Call_7277</t>
  </si>
  <si>
    <t>C0007</t>
  </si>
  <si>
    <t>Call_7278</t>
  </si>
  <si>
    <t>R04</t>
  </si>
  <si>
    <t>Call_7279</t>
  </si>
  <si>
    <t>Call_7280</t>
  </si>
  <si>
    <t>C0010</t>
  </si>
  <si>
    <t>R03</t>
  </si>
  <si>
    <t>Call_7281</t>
  </si>
  <si>
    <t>Call_7282</t>
  </si>
  <si>
    <t>C0013</t>
  </si>
  <si>
    <t>Call_7283</t>
  </si>
  <si>
    <t>C0002</t>
  </si>
  <si>
    <t>Call_7284</t>
  </si>
  <si>
    <t>Call_7285</t>
  </si>
  <si>
    <t>Call_7286</t>
  </si>
  <si>
    <t>Call_7287</t>
  </si>
  <si>
    <t>Call_7288</t>
  </si>
  <si>
    <t>C0009</t>
  </si>
  <si>
    <t>10 to 30 mins</t>
  </si>
  <si>
    <t>Call_7289</t>
  </si>
  <si>
    <t>Call_7290</t>
  </si>
  <si>
    <t>C0006</t>
  </si>
  <si>
    <t>Call_7291</t>
  </si>
  <si>
    <t>Call_7292</t>
  </si>
  <si>
    <t>Call_7293</t>
  </si>
  <si>
    <t>Call_7294</t>
  </si>
  <si>
    <t>C0015</t>
  </si>
  <si>
    <t>Call_7295</t>
  </si>
  <si>
    <t>Call_7296</t>
  </si>
  <si>
    <t>C0012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</si>
  <si>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</si>
  <si>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</si>
  <si>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</si>
  <si>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</si>
  <si>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</si>
  <si>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</si>
  <si>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</si>
  <si>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</si>
  <si>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</si>
  <si>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C0001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</si>
  <si>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</si>
  <si>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</si>
  <si>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</si>
  <si>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</si>
  <si>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</si>
  <si>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</si>
  <si>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</si>
  <si>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</si>
  <si>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</si>
  <si>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</si>
  <si>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</si>
  <si>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</si>
  <si>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</si>
  <si>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</si>
  <si>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</si>
  <si>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</si>
  <si>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</si>
  <si>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</si>
  <si>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</si>
  <si>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C0008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</si>
  <si>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</si>
  <si>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</si>
  <si>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</si>
  <si>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</si>
  <si>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</si>
  <si>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</si>
  <si>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</si>
  <si>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</si>
  <si>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</si>
  <si>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</si>
  <si>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</si>
  <si>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</si>
  <si>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</si>
  <si>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</si>
  <si>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</si>
  <si>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</si>
  <si>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</si>
  <si>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</si>
  <si>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</si>
  <si>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</si>
  <si>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</si>
  <si>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</si>
  <si>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</si>
  <si>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</si>
  <si>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</si>
  <si>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</si>
  <si>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</si>
  <si>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</si>
  <si>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</si>
  <si>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</si>
  <si>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</si>
  <si>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</si>
  <si>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</si>
  <si>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</si>
  <si>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</si>
  <si>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</si>
  <si>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</si>
  <si>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</si>
  <si>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</si>
  <si>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</si>
  <si>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</si>
  <si>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</si>
  <si>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</si>
  <si>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</si>
  <si>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</si>
  <si>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</si>
  <si>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</si>
  <si>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</si>
  <si>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</si>
  <si>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</si>
  <si>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</si>
  <si>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</si>
  <si>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</si>
  <si>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</si>
  <si>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</si>
  <si>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</si>
  <si>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</si>
  <si>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</si>
  <si>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</si>
  <si>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</si>
  <si>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</si>
  <si>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</si>
  <si>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</si>
  <si>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</si>
  <si>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</si>
  <si>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</si>
  <si>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</si>
  <si>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</si>
  <si>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</si>
  <si>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</si>
  <si>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</si>
  <si>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</si>
  <si>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</si>
  <si>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</si>
  <si>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</si>
  <si>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</si>
  <si>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</si>
  <si>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</si>
  <si>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</si>
  <si>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</si>
  <si>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</si>
  <si>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</si>
  <si>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</si>
  <si>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</si>
  <si>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</si>
  <si>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</si>
  <si>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</si>
  <si>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Under 10 mins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</si>
  <si>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</si>
  <si>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</si>
  <si>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</si>
  <si>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</si>
  <si>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</si>
  <si>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</si>
  <si>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</si>
  <si>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</si>
  <si>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</si>
  <si>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</si>
  <si>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</si>
  <si>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</si>
  <si>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</si>
  <si>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</si>
  <si>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</si>
  <si>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</si>
  <si>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</si>
  <si>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</si>
  <si>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</si>
  <si>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</si>
  <si>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</si>
  <si>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</si>
  <si>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</si>
  <si>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</si>
  <si>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</si>
  <si>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</si>
  <si>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</si>
  <si>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</si>
  <si>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</si>
  <si>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</si>
  <si>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</si>
  <si>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</si>
  <si>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</si>
  <si>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</si>
  <si>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</si>
  <si>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</si>
  <si>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</si>
  <si>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</si>
  <si>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</si>
  <si>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</si>
  <si>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</si>
  <si>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</si>
  <si>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</si>
  <si>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</si>
  <si>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</si>
  <si>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</si>
  <si>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</si>
  <si>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</si>
  <si>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</si>
  <si>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</si>
  <si>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</si>
  <si>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</si>
  <si>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</si>
  <si>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</si>
  <si>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</si>
  <si>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</si>
  <si>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</si>
  <si>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</si>
  <si>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</si>
  <si>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</si>
  <si>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</si>
  <si>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</si>
  <si>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</si>
  <si>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</si>
  <si>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</si>
  <si>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</si>
  <si>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</si>
  <si>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</si>
  <si>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</si>
  <si>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</si>
  <si>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</si>
  <si>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</si>
  <si>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</si>
  <si>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</si>
  <si>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</si>
  <si>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</si>
  <si>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</si>
  <si>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</si>
  <si>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</si>
  <si>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</si>
  <si>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</si>
  <si>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</si>
  <si>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</si>
  <si>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</si>
  <si>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</si>
  <si>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</si>
  <si>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</si>
  <si>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</si>
  <si>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</si>
  <si>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</si>
  <si>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</si>
  <si>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</si>
  <si>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</si>
  <si>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</si>
  <si>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</si>
  <si>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</si>
  <si>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</si>
  <si>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</si>
  <si>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</si>
  <si>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</si>
  <si>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</si>
  <si>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</si>
  <si>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</si>
  <si>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</si>
  <si>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</si>
  <si>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</si>
  <si>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</si>
  <si>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</si>
  <si>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</si>
  <si>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</si>
  <si>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</si>
  <si>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</si>
  <si>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</si>
  <si>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</si>
  <si>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</si>
  <si>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</si>
  <si>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</si>
  <si>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</si>
  <si>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</si>
  <si>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</si>
  <si>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</si>
  <si>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</si>
  <si>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</si>
  <si>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</si>
  <si>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</si>
  <si>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</si>
  <si>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</si>
  <si>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</si>
  <si>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</si>
  <si>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</si>
  <si>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</si>
  <si>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</si>
  <si>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</si>
  <si>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</si>
  <si>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</si>
  <si>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</si>
  <si>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</si>
  <si>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</si>
  <si>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</si>
  <si>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</si>
  <si>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</si>
  <si>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</si>
  <si>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</si>
  <si>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</si>
  <si>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</si>
  <si>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</si>
  <si>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</si>
  <si>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</si>
  <si>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</si>
  <si>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</si>
  <si>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</si>
  <si>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</si>
  <si>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</si>
  <si>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</si>
  <si>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</si>
  <si>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</si>
  <si>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</si>
  <si>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</si>
  <si>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</si>
  <si>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</si>
  <si>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</si>
  <si>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</si>
  <si>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</si>
  <si>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</si>
  <si>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</si>
  <si>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</si>
  <si>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</si>
  <si>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</si>
  <si>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</si>
  <si>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</si>
  <si>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</si>
  <si>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</si>
  <si>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</si>
  <si>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</si>
  <si>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</si>
  <si>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</si>
  <si>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</si>
  <si>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</si>
  <si>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</si>
  <si>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</si>
  <si>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</si>
  <si>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</si>
  <si>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</si>
  <si>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</si>
  <si>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</si>
  <si>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</si>
  <si>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</si>
  <si>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</si>
  <si>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</si>
  <si>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</si>
  <si>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</si>
  <si>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</si>
  <si>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</si>
  <si>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</si>
  <si>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</si>
  <si>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</si>
  <si>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</si>
  <si>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</si>
  <si>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</si>
  <si>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</si>
  <si>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</si>
  <si>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</si>
  <si>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</si>
  <si>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</si>
  <si>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</si>
  <si>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</si>
  <si>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</si>
  <si>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</si>
  <si>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</si>
  <si>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</si>
  <si>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</si>
  <si>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</si>
  <si>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</si>
  <si>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</si>
  <si>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</si>
  <si>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</si>
  <si>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</si>
  <si>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</si>
  <si>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</si>
  <si>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</si>
  <si>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</si>
  <si>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</si>
  <si>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</si>
  <si>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</si>
  <si>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</si>
  <si>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</si>
  <si>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</si>
  <si>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</si>
  <si>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</si>
  <si>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</si>
  <si>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</si>
  <si>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</si>
  <si>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</si>
  <si>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</si>
  <si>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</si>
  <si>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</si>
  <si>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</si>
  <si>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</si>
  <si>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</si>
  <si>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</si>
  <si>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</si>
  <si>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</si>
  <si>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</si>
  <si>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</si>
  <si>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</si>
  <si>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</si>
  <si>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</si>
  <si>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</si>
  <si>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</si>
  <si>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</si>
  <si>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</si>
  <si>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</si>
  <si>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</si>
  <si>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</si>
  <si>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</si>
  <si>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</si>
  <si>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</si>
  <si>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</si>
  <si>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</si>
  <si>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</si>
  <si>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</si>
  <si>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</si>
  <si>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</si>
  <si>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</si>
  <si>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</si>
  <si>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</si>
  <si>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</si>
  <si>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</si>
  <si>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</si>
  <si>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</si>
  <si>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</si>
  <si>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</si>
  <si>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</si>
  <si>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</si>
  <si>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</si>
  <si>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</si>
  <si>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</si>
  <si>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</si>
  <si>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</si>
  <si>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</si>
  <si>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</si>
  <si>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</si>
  <si>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</si>
  <si>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</si>
  <si>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</si>
  <si>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</si>
  <si>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</si>
  <si>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</si>
  <si>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</si>
  <si>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</si>
  <si>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</si>
  <si>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</si>
  <si>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</si>
  <si>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</si>
  <si>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</si>
  <si>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</si>
  <si>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</si>
  <si>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</si>
  <si>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</si>
  <si>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</si>
  <si>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</si>
  <si>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</si>
  <si>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</si>
  <si>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</si>
  <si>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</si>
  <si>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</si>
  <si>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</si>
  <si>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</si>
  <si>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</si>
  <si>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</si>
  <si>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</si>
  <si>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</si>
  <si>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</si>
  <si>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</si>
  <si>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</si>
  <si>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</si>
  <si>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</si>
  <si>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</si>
  <si>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</si>
  <si>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</si>
  <si>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</si>
  <si>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</si>
  <si>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</si>
  <si>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</si>
  <si>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</si>
  <si>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</si>
  <si>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</si>
  <si>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</si>
  <si>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</si>
  <si>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</si>
  <si>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</si>
  <si>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</si>
  <si>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</si>
  <si>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</si>
  <si>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</si>
  <si>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</si>
  <si>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</si>
  <si>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</si>
  <si>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</si>
  <si>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</si>
  <si>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</si>
  <si>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</si>
  <si>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</si>
  <si>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</si>
  <si>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</si>
  <si>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</si>
  <si>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</si>
  <si>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</si>
  <si>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</si>
  <si>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</si>
  <si>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</si>
  <si>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</si>
  <si>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</si>
  <si>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</si>
  <si>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</si>
  <si>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</si>
  <si>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</si>
  <si>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</si>
  <si>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</si>
  <si>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</si>
  <si>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</si>
  <si>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</si>
  <si>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</si>
  <si>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</si>
  <si>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</si>
  <si>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</si>
  <si>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</si>
  <si>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</si>
  <si>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</si>
  <si>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</si>
  <si>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</si>
  <si>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</si>
  <si>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</si>
  <si>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</si>
  <si>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</si>
  <si>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</si>
  <si>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</si>
  <si>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</si>
  <si>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</si>
  <si>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</si>
  <si>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</si>
  <si>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</si>
  <si>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</si>
  <si>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</si>
  <si>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</si>
  <si>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</si>
  <si>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</si>
  <si>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</si>
  <si>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</si>
  <si>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</si>
  <si>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</si>
  <si>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</si>
  <si>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</si>
  <si>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</si>
  <si>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</si>
  <si>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</si>
  <si>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</si>
  <si>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</si>
  <si>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</si>
  <si>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</si>
  <si>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</si>
  <si>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</si>
  <si>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</si>
  <si>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</si>
  <si>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</si>
  <si>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</si>
  <si>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</si>
  <si>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</si>
  <si>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</si>
  <si>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</si>
  <si>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</si>
  <si>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</si>
  <si>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</si>
  <si>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</si>
  <si>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</si>
  <si>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</si>
  <si>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</si>
  <si>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</si>
  <si>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</si>
  <si>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</si>
  <si>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</si>
  <si>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</si>
  <si>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</si>
  <si>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</si>
  <si>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</si>
  <si>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</si>
  <si>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</si>
  <si>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</si>
  <si>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</si>
  <si>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</si>
  <si>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</si>
  <si>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</si>
  <si>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</si>
  <si>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</si>
  <si>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</si>
  <si>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</si>
  <si>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</si>
  <si>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</si>
  <si>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</si>
  <si>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</si>
  <si>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</si>
  <si>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</si>
  <si>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</si>
  <si>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</si>
  <si>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</si>
  <si>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</si>
  <si>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</si>
  <si>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</si>
  <si>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</si>
  <si>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</si>
  <si>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</si>
  <si>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</si>
  <si>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</si>
  <si>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</si>
  <si>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</si>
  <si>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</si>
  <si>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</si>
  <si>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</si>
  <si>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</si>
  <si>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</si>
  <si>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</si>
  <si>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</si>
  <si>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</si>
  <si>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</si>
  <si>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</si>
  <si>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</si>
  <si>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</si>
  <si>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</si>
  <si>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</si>
  <si>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</si>
  <si>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</si>
  <si>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</si>
  <si>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</si>
  <si>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</si>
  <si>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</si>
  <si>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</si>
  <si>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</si>
  <si>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</si>
  <si>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</si>
  <si>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</si>
  <si>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</si>
  <si>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</si>
  <si>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</si>
  <si>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</si>
  <si>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</si>
  <si>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</si>
  <si>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</si>
  <si>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</si>
  <si>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</si>
  <si>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</si>
  <si>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</si>
  <si>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</si>
  <si>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</si>
  <si>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</si>
  <si>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</si>
  <si>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</si>
  <si>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</si>
  <si>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</si>
  <si>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</si>
  <si>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</si>
  <si>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</si>
  <si>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</si>
  <si>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</si>
  <si>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</si>
  <si>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</si>
  <si>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</si>
  <si>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</si>
  <si>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</si>
  <si>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</si>
  <si>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</si>
  <si>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</si>
  <si>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</si>
  <si>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</si>
  <si>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</si>
  <si>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</si>
  <si>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</si>
  <si>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</si>
  <si>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</si>
  <si>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</si>
  <si>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</si>
  <si>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</si>
  <si>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</si>
  <si>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</si>
  <si>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</si>
  <si>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</si>
  <si>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</si>
  <si>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</si>
  <si>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</si>
  <si>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</si>
  <si>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</si>
  <si>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</si>
  <si>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</si>
  <si>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</si>
  <si>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</si>
  <si>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</si>
  <si>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</si>
  <si>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</si>
  <si>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</si>
  <si>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</si>
  <si>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</si>
  <si>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</si>
  <si>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</si>
  <si>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</si>
  <si>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</si>
  <si>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</si>
  <si>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</si>
  <si>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</si>
  <si>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</si>
  <si>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</si>
  <si>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</si>
  <si>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</si>
  <si>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</si>
  <si>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</si>
  <si>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</si>
  <si>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</si>
  <si>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</si>
  <si>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</si>
  <si>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</si>
  <si>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</si>
  <si>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</si>
  <si>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</si>
  <si>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</si>
  <si>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</si>
  <si>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</si>
  <si>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</si>
  <si>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</si>
  <si>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</si>
  <si>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</si>
  <si>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</si>
  <si>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</si>
  <si>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</si>
  <si>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</si>
  <si>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</si>
  <si>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</si>
  <si>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</si>
  <si>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</si>
  <si>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</si>
  <si>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</si>
  <si>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</si>
  <si>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</si>
  <si>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</si>
  <si>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</si>
  <si>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</si>
  <si>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</si>
  <si>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</si>
  <si>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</si>
  <si>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</si>
  <si>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</si>
  <si>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</si>
  <si>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</si>
  <si>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</si>
  <si>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</si>
  <si>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</si>
  <si>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</si>
  <si>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</si>
  <si>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</si>
  <si>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</si>
  <si>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</si>
  <si>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</si>
  <si>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</si>
  <si>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</si>
  <si>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</si>
  <si>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</si>
  <si>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</si>
  <si>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</si>
  <si>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</si>
  <si>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</si>
  <si>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</si>
  <si>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</si>
  <si>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</si>
  <si>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</si>
  <si>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</si>
  <si>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</si>
  <si>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</si>
  <si>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</si>
  <si>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</si>
  <si>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</si>
  <si>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</si>
  <si>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</si>
  <si>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</si>
  <si>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</si>
  <si>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</si>
  <si>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</si>
  <si>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</si>
  <si>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</si>
  <si>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</si>
  <si>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</si>
  <si>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</si>
  <si>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</si>
  <si>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</si>
  <si>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</si>
  <si>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</si>
  <si>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</si>
  <si>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</si>
  <si>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</si>
  <si>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</si>
  <si>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</si>
  <si>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</si>
  <si>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</si>
  <si>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</si>
  <si>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</si>
  <si>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</si>
  <si>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</si>
  <si>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</si>
  <si>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</si>
  <si>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</si>
  <si>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</si>
  <si>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</si>
  <si>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</si>
  <si>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</si>
  <si>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</si>
  <si>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</si>
  <si>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</si>
  <si>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</si>
  <si>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</si>
  <si>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</si>
  <si>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</si>
  <si>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</si>
  <si>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</si>
  <si>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</si>
  <si>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</si>
  <si>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</si>
  <si>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</si>
  <si>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</si>
  <si>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</si>
  <si>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</si>
  <si>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</si>
  <si>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</si>
  <si>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</si>
  <si>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</si>
  <si>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</si>
  <si>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</si>
  <si>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</si>
  <si>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</si>
  <si>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</si>
  <si>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</si>
  <si>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</si>
  <si>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</si>
  <si>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</si>
  <si>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</si>
  <si>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</si>
  <si>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</si>
  <si>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</si>
  <si>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</si>
  <si>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</si>
  <si>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</si>
  <si>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</si>
  <si>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</si>
  <si>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</si>
  <si>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</si>
  <si>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</si>
  <si>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</si>
  <si>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</si>
  <si>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</si>
  <si>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</si>
  <si>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</si>
  <si>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</si>
  <si>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</si>
  <si>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</si>
  <si>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</si>
  <si>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</si>
  <si>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</si>
  <si>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</si>
  <si>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</si>
  <si>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</si>
  <si>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</si>
  <si>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</si>
  <si>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</si>
  <si>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</si>
  <si>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</si>
  <si>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</si>
  <si>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</si>
  <si>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</si>
  <si>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</si>
  <si>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</si>
  <si>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</si>
  <si>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</si>
  <si>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</si>
  <si>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</si>
  <si>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</si>
  <si>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</si>
  <si>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</si>
  <si>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</si>
  <si>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</si>
  <si>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</si>
  <si>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</si>
  <si>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</si>
  <si>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</si>
  <si>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</si>
  <si>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</si>
  <si>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</si>
  <si>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</si>
  <si>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</si>
  <si>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</si>
  <si>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</si>
  <si>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</si>
  <si>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</si>
  <si>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</si>
  <si>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</si>
  <si>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</si>
  <si>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</si>
  <si>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</si>
  <si>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</si>
  <si>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</si>
  <si>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</si>
  <si>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</si>
  <si>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</si>
  <si>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</si>
  <si>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</si>
  <si>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</si>
  <si>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</si>
  <si>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</si>
  <si>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</si>
  <si>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</si>
  <si>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</si>
  <si>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</si>
  <si>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</si>
  <si>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</si>
  <si>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</si>
  <si>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</si>
  <si>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</si>
  <si>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</si>
  <si>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</si>
  <si>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</si>
  <si>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</si>
  <si>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</si>
  <si>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</si>
  <si>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</si>
  <si>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</si>
  <si>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</si>
  <si>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</si>
  <si>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</si>
  <si>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</si>
  <si>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</si>
  <si>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</si>
  <si>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</si>
  <si>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</si>
  <si>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</si>
  <si>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</si>
  <si>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</si>
  <si>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</si>
  <si>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</si>
  <si>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</si>
  <si>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</si>
  <si>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</si>
  <si>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</si>
  <si>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</si>
  <si>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</si>
  <si>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</si>
  <si>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</si>
  <si>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</si>
  <si>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</si>
  <si>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</si>
  <si>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</si>
  <si>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</si>
  <si>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</si>
  <si>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</si>
  <si>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</si>
  <si>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</si>
  <si>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</si>
  <si>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</si>
  <si>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</si>
  <si>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</si>
  <si>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</si>
  <si>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</si>
  <si>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</si>
  <si>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</si>
  <si>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</si>
  <si>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</si>
  <si>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</si>
  <si>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</si>
  <si>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</si>
  <si>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</si>
  <si>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</si>
  <si>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</si>
  <si>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</si>
  <si>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</si>
  <si>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</si>
  <si>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</si>
  <si>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</si>
  <si>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</si>
  <si>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</si>
  <si>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</si>
  <si>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</si>
  <si>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</si>
  <si>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</si>
  <si>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</si>
  <si>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</si>
  <si>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</si>
  <si>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</si>
  <si>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</si>
  <si>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</si>
  <si>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</si>
  <si>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</si>
  <si>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</si>
  <si>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</si>
  <si>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</si>
  <si>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</si>
  <si>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</si>
  <si>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</si>
  <si>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</si>
  <si>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</si>
  <si>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</si>
  <si>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</si>
  <si>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</si>
  <si>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</si>
  <si>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</si>
  <si>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</si>
  <si>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</si>
  <si>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</si>
  <si>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</si>
  <si>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</si>
  <si>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</si>
  <si>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</si>
  <si>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</si>
  <si>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</si>
  <si>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</si>
  <si>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</si>
  <si>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</si>
  <si>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</si>
  <si>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</si>
  <si>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</si>
  <si>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</si>
  <si>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</si>
  <si>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</si>
  <si>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</si>
  <si>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</si>
  <si>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</si>
  <si>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</si>
  <si>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</si>
  <si>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</si>
  <si>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</si>
  <si>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</si>
  <si>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Call number</t>
  </si>
  <si>
    <t>Sum of Satisfaction Rating</t>
  </si>
  <si>
    <t>Sum of Duration</t>
  </si>
  <si>
    <t>Sum of Purchase Amount</t>
  </si>
  <si>
    <t>Monday</t>
  </si>
  <si>
    <t>Tuesday</t>
  </si>
  <si>
    <t>Wednesday</t>
  </si>
  <si>
    <t>Thursday</t>
  </si>
  <si>
    <t>Friday</t>
  </si>
  <si>
    <t>Saturday</t>
  </si>
  <si>
    <t>Sunday</t>
  </si>
  <si>
    <t xml:space="preserve">CALL CENTER PERFORMANCE INSIGHTS &amp; SUMMARY
1. BEST-PERFORMING AGENTS:
• Top Revenue: R03 generated the highest total revenue ($20,872).
• Top Satisfaction: R01 achieved the highest customer satisfaction score (3.92).
• Highest Workload: R02 handled the maximum call volume (218 calls).
2. PEAK CALL TIMES:
• Busiest Month: March recorded the highest call volume (155 calls).
• Busiest Day: Saturday was the peak day for incoming calls (161 calls).
• Common Duration: Over 52% of calls lasted between 1 to 2 hours.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</si>
</sst>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\-mmm\-yy"/>
    <numFmt numFmtId="165" formatCode="0.0"/>
  </numFmts>
  <fonts count="9" x14ac:knownFonts="1">
    <font>
      <sz val="11"/>
      <color theme="1"/>
      <name val="Aptos"/>
      <scheme val="minor"/>
    </font>
    <font>
      <b/>
      <sz val="11"/>
      <color rgb="FFFFFFFF"/>
      <name val="Aptos"/>
    </font>
    <font>
      <b/>
      <i/>
      <sz val="11"/>
      <color rgb="FFFFFFFF"/>
      <name val="Aptos"/>
    </font>
    <font>
      <sz val="11"/>
      <color rgb="FFFFFFFF"/>
      <name val="Arial"/>
    </font>
    <font>
      <sz val="11"/>
      <color rgb="FFFFFFFF"/>
      <name val="Aptos"/>
    </font>
    <font>
      <sz val="11"/>
      <color theme="1"/>
      <name val="Aptos"/>
    </font>
    <font>
      <i/>
      <sz val="11"/>
      <color theme="1"/>
      <name val="Aptos"/>
    </font>
    <font>
      <sz val="11"/>
      <color theme="1"/>
      <name val="Arial"/>
    </font>
    <font>
      <i/>
      <sz val="11"/>
      <color theme="1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indexed="65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0" fontId="5" fillId="0" borderId="0" xfId="0" applyFont="1"/>
    <xf numFmtId="164" fontId="6" fillId="0" borderId="0" xfId="0" applyNumberFormat="1" applyFont="1" applyAlignment="1">
      <alignment horizontal="center"/>
    </xf>
    <xf numFmtId="0" fontId="7" fillId="0" borderId="0" xfId="0" applyFont="1"/>
    <xf numFmtId="164" fontId="8" fillId="0" borderId="0" xfId="0" applyNumberFormat="1" applyFont="1" applyAlignment="1">
      <alignment horizontal="center"/>
    </xf>
    <xf numFmtId="0" fontId="0" fillId="0" borderId="1" xfId="0" applyBorder="1"/>
    <xf numFmtId="14" fontId="2" fillId="0" borderId="0" xfId="0" applyNumberFormat="1" applyFont="1" applyAlignment="1">
      <alignment horizontal="center"/>
    </xf>
    <xf numFmtId="49" fontId="1" fillId="0" borderId="0" xfId="0" applyNumberFormat="1" applyFont="1"/>
    <xf numFmtId="49" fontId="5" fillId="0" borderId="0" xfId="0" applyNumberFormat="1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right"/>
    </xf>
    <xf numFmtId="2" fontId="1" fillId="0" borderId="0" xfId="0" applyNumberFormat="1" applyFont="1"/>
    <xf numFmtId="2" fontId="5" fillId="0" borderId="0" xfId="0" applyNumberFormat="1" applyFont="1"/>
    <xf numFmtId="2" fontId="0" fillId="0" borderId="0" xfId="0" applyNumberFormat="1"/>
    <xf numFmtId="165" fontId="1" fillId="0" borderId="0" xfId="0" applyNumberFormat="1" applyFont="1"/>
    <xf numFmtId="165" fontId="5" fillId="0" borderId="0" xfId="0" applyNumberFormat="1" applyFont="1"/>
    <xf numFmtId="165" fontId="0" fillId="0" borderId="0" xfId="0" applyNumberFormat="1"/>
    <xf numFmtId="49" fontId="3" fillId="0" borderId="0" xfId="0" applyNumberFormat="1" applyFont="1"/>
    <xf numFmtId="49" fontId="7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  <xf numFmtId="1" fontId="0" fillId="0" borderId="0" xfId="0" applyNumberFormat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6" xfId="0" applyBorder="1" applyAlignment="1">
      <alignment horizontal="left"/>
    </xf>
    <xf numFmtId="0" fontId="0" fillId="0" borderId="5" xfId="0" applyBorder="1"/>
    <xf numFmtId="0" fontId="0" fillId="0" borderId="7" xfId="0" applyBorder="1"/>
    <xf numFmtId="1" fontId="0" fillId="0" borderId="3" xfId="0" applyNumberFormat="1" applyBorder="1"/>
    <xf numFmtId="1" fontId="0" fillId="0" borderId="4" xfId="0" applyNumberFormat="1" applyBorder="1"/>
    <xf numFmtId="1" fontId="0" fillId="0" borderId="5" xfId="0" applyNumberFormat="1" applyBorder="1"/>
    <xf numFmtId="2" fontId="0" fillId="0" borderId="2" xfId="0" applyNumberFormat="1" applyBorder="1"/>
    <xf numFmtId="2" fontId="0" fillId="0" borderId="1" xfId="0" applyNumberFormat="1" applyBorder="1"/>
    <xf numFmtId="2" fontId="0" fillId="0" borderId="6" xfId="0" applyNumberFormat="1" applyBorder="1"/>
    <xf numFmtId="1" fontId="0" fillId="0" borderId="7" xfId="0" applyNumberFormat="1" applyBorder="1"/>
    <xf numFmtId="1" fontId="0" fillId="0" borderId="9" xfId="0" applyNumberFormat="1" applyBorder="1"/>
    <xf numFmtId="1" fontId="0" fillId="0" borderId="8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22"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65" formatCode="0.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65" formatCode="0.0"/>
    </dxf>
    <dxf>
      <numFmt numFmtId="166" formatCode="0.0000000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0F3"/>
          <bgColor rgb="FFDBE0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Assigment 3.xlsx]Pivot_Analysis!PivotTable1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Call number</a:t>
            </a:r>
            <a:endParaRPr lang="ar-E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Pivot_Analysis!$A$4:$A$16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Oct</c:v>
                </c:pt>
                <c:pt idx="3">
                  <c:v>May</c:v>
                </c:pt>
                <c:pt idx="4">
                  <c:v>Jan</c:v>
                </c:pt>
                <c:pt idx="5">
                  <c:v>Sep</c:v>
                </c:pt>
                <c:pt idx="6">
                  <c:v>Jun</c:v>
                </c:pt>
                <c:pt idx="7">
                  <c:v>Feb</c:v>
                </c:pt>
                <c:pt idx="8">
                  <c:v>Jul</c:v>
                </c:pt>
                <c:pt idx="9">
                  <c:v>Nov</c:v>
                </c:pt>
                <c:pt idx="10">
                  <c:v>Dec</c:v>
                </c:pt>
                <c:pt idx="11">
                  <c:v>Aug</c:v>
                </c:pt>
              </c:strCache>
            </c:strRef>
          </c:cat>
          <c:val>
            <c:numRef>
              <c:f>Pivot_Analysis!$B$4:$B$16</c:f>
              <c:numCache>
                <c:formatCode>General</c:formatCode>
                <c:ptCount val="12"/>
                <c:pt idx="0">
                  <c:v>155</c:v>
                </c:pt>
                <c:pt idx="1">
                  <c:v>136</c:v>
                </c:pt>
                <c:pt idx="2">
                  <c:v>114</c:v>
                </c:pt>
                <c:pt idx="3">
                  <c:v>83</c:v>
                </c:pt>
                <c:pt idx="4">
                  <c:v>79</c:v>
                </c:pt>
                <c:pt idx="5">
                  <c:v>76</c:v>
                </c:pt>
                <c:pt idx="6">
                  <c:v>67</c:v>
                </c:pt>
                <c:pt idx="7">
                  <c:v>66</c:v>
                </c:pt>
                <c:pt idx="8">
                  <c:v>64</c:v>
                </c:pt>
                <c:pt idx="9">
                  <c:v>57</c:v>
                </c:pt>
                <c:pt idx="10">
                  <c:v>53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8-4153-A637-0F8742AF47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9858224"/>
        <c:axId val="439858584"/>
      </c:barChart>
      <c:catAx>
        <c:axId val="43985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58584"/>
        <c:crosses val="autoZero"/>
        <c:auto val="1"/>
        <c:lblAlgn val="ctr"/>
        <c:lblOffset val="100"/>
        <c:noMultiLvlLbl val="0"/>
      </c:catAx>
      <c:valAx>
        <c:axId val="4398585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5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41910</xdr:rowOff>
    </xdr:from>
    <xdr:to>
      <xdr:col>6</xdr:col>
      <xdr:colOff>15240</xdr:colOff>
      <xdr:row>32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6FA24-D15E-E329-37D5-2C3AB743E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VER CLOCK" refreshedDate="46319.481051504627" createdVersion="8" refreshedVersion="8" minRefreshableVersion="3" recordCount="1000" xr:uid="{F2D14C53-1E46-4713-A4B1-4576A77366B4}">
  <cacheSource type="worksheet">
    <worksheetSource name="Table_1"/>
  </cacheSource>
  <cacheFields count="13">
    <cacheField name="Call number" numFmtId="0">
      <sharedItems count="1000">
        <s v="Call_7271"/>
        <s v="Call_7272"/>
        <s v="Call_7273"/>
        <s v="Call_7274"/>
        <s v="Call_7275"/>
        <s v="Call_7276"/>
        <s v="Call_7277"/>
        <s v="Call_7278"/>
        <s v="Call_7279"/>
        <s v="Call_7280"/>
        <s v="Call_7281"/>
        <s v="Call_7282"/>
        <s v="Call_7283"/>
        <s v="Call_7284"/>
        <s v="Call_7285"/>
        <s v="Call_7286"/>
        <s v="Call_7287"/>
        <s v="Call_7288"/>
        <s v="Call_7289"/>
        <s v="Call_7290"/>
        <s v="Call_7291"/>
        <s v="Call_7292"/>
        <s v="Call_7293"/>
        <s v="Call_7294"/>
        <s v="Call_7295"/>
        <s v="Call_7296"/>
        <s v="Call_7297"/>
        <s v="Call_7298"/>
        <s v="Call_7299"/>
        <s v="Call_7300"/>
        <s v="Call_7301"/>
        <s v="Call_7302"/>
        <s v="Call_7303"/>
        <s v="Call_7304"/>
        <s v="Call_7305"/>
        <s v="Call_7306"/>
        <s v="Call_7307"/>
        <s v="Call_7308"/>
        <s v="Call_7309"/>
        <s v="Call_7310"/>
        <s v="Call_7311"/>
        <s v="Call_7312"/>
        <s v="Call_7313"/>
        <s v="Call_7314"/>
        <s v="Call_7315"/>
        <s v="Call_7316"/>
        <s v="Call_7317"/>
        <s v="Call_7318"/>
        <s v="Call_7319"/>
        <s v="Call_7320"/>
        <s v="Call_7321"/>
        <s v="Call_7322"/>
        <s v="Call_7323"/>
        <s v="Call_7324"/>
        <s v="Call_7325"/>
        <s v="Call_7326"/>
        <s v="Call_7327"/>
        <s v="Call_7328"/>
        <s v="Call_7329"/>
        <s v="Call_7330"/>
        <s v="Call_7331"/>
        <s v="Call_7332"/>
        <s v="Call_7333"/>
        <s v="Call_7334"/>
        <s v="Call_7335"/>
        <s v="Call_7336"/>
        <s v="Call_7337"/>
        <s v="Call_7338"/>
        <s v="Call_7339"/>
        <s v="Call_7340"/>
        <s v="Call_7341"/>
        <s v="Call_7342"/>
        <s v="Call_7343"/>
        <s v="Call_7344"/>
        <s v="Call_7345"/>
        <s v="Call_7346"/>
        <s v="Call_7347"/>
        <s v="Call_7348"/>
        <s v="Call_7349"/>
        <s v="Call_7350"/>
        <s v="Call_7351"/>
        <s v="Call_7352"/>
        <s v="Call_7353"/>
        <s v="Call_7354"/>
        <s v="Call_7355"/>
        <s v="Call_7356"/>
        <s v="Call_7357"/>
        <s v="Call_7358"/>
        <s v="Call_7359"/>
        <s v="Call_7360"/>
        <s v="Call_7361"/>
        <s v="Call_7362"/>
        <s v="Call_7363"/>
        <s v="Call_7364"/>
        <s v="Call_7365"/>
        <s v="Call_7366"/>
        <s v="Call_7367"/>
        <s v="Call_7368"/>
        <s v="Call_7369"/>
        <s v="Call_7370"/>
        <s v="Call_7371"/>
        <s v="Call_7372"/>
        <s v="Call_7373"/>
        <s v="Call_7374"/>
        <s v="Call_7375"/>
        <s v="Call_7376"/>
        <s v="Call_7377"/>
        <s v="Call_7378"/>
        <s v="Call_7379"/>
        <s v="Call_7380"/>
        <s v="Call_7381"/>
        <s v="Call_7382"/>
        <s v="Call_7383"/>
        <s v="Call_7384"/>
        <s v="Call_7385"/>
        <s v="Call_7386"/>
        <s v="Call_7387"/>
        <s v="Call_7388"/>
        <s v="Call_7389"/>
        <s v="Call_7390"/>
        <s v="Call_7391"/>
        <s v="Call_7392"/>
        <s v="Call_7393"/>
        <s v="Call_7394"/>
        <s v="Call_7395"/>
        <s v="Call_7396"/>
        <s v="Call_7397"/>
        <s v="Call_7398"/>
        <s v="Call_7399"/>
        <s v="Call_7400"/>
        <s v="Call_7401"/>
        <s v="Call_7402"/>
        <s v="Call_7403"/>
        <s v="Call_7404"/>
        <s v="Call_7405"/>
        <s v="Call_7406"/>
        <s v="Call_7407"/>
        <s v="Call_7408"/>
        <s v="Call_7409"/>
        <s v="Call_7410"/>
        <s v="Call_7411"/>
        <s v="Call_7412"/>
        <s v="Call_7413"/>
        <s v="Call_7414"/>
        <s v="Call_7415"/>
        <s v="Call_7416"/>
        <s v="Call_7417"/>
        <s v="Call_7418"/>
        <s v="Call_7419"/>
        <s v="Call_7420"/>
        <s v="Call_7421"/>
        <s v="Call_7422"/>
        <s v="Call_7423"/>
        <s v="Call_7424"/>
        <s v="Call_7425"/>
        <s v="Call_7426"/>
        <s v="Call_7427"/>
        <s v="Call_7428"/>
        <s v="Call_7429"/>
        <s v="Call_7430"/>
        <s v="Call_7431"/>
        <s v="Call_7432"/>
        <s v="Call_7433"/>
        <s v="Call_7434"/>
        <s v="Call_7435"/>
        <s v="Call_7436"/>
        <s v="Call_7437"/>
        <s v="Call_7438"/>
        <s v="Call_7439"/>
        <s v="Call_7440"/>
        <s v="Call_7441"/>
        <s v="Call_7442"/>
        <s v="Call_7443"/>
        <s v="Call_7444"/>
        <s v="Call_7445"/>
        <s v="Call_7446"/>
        <s v="Call_7447"/>
        <s v="Call_7448"/>
        <s v="Call_7449"/>
        <s v="Call_7450"/>
        <s v="Call_7451"/>
        <s v="Call_7452"/>
        <s v="Call_7453"/>
        <s v="Call_7454"/>
        <s v="Call_7455"/>
        <s v="Call_7456"/>
        <s v="Call_7457"/>
        <s v="Call_7458"/>
        <s v="Call_7459"/>
        <s v="Call_7460"/>
        <s v="Call_7461"/>
        <s v="Call_7462"/>
        <s v="Call_7463"/>
        <s v="Call_7464"/>
        <s v="Call_7465"/>
        <s v="Call_7466"/>
        <s v="Call_7467"/>
        <s v="Call_7468"/>
        <s v="Call_7469"/>
        <s v="Call_7470"/>
        <s v="Call_7471"/>
        <s v="Call_7472"/>
        <s v="Call_7473"/>
        <s v="Call_7474"/>
        <s v="Call_7475"/>
        <s v="Call_7476"/>
        <s v="Call_7477"/>
        <s v="Call_7478"/>
        <s v="Call_7479"/>
        <s v="Call_7480"/>
        <s v="Call_7481"/>
        <s v="Call_7482"/>
        <s v="Call_7483"/>
        <s v="Call_7484"/>
        <s v="Call_7485"/>
        <s v="Call_7486"/>
        <s v="Call_7487"/>
        <s v="Call_7488"/>
        <s v="Call_7489"/>
        <s v="Call_7490"/>
        <s v="Call_7491"/>
        <s v="Call_7492"/>
        <s v="Call_7493"/>
        <s v="Call_7494"/>
        <s v="Call_7495"/>
        <s v="Call_7496"/>
        <s v="Call_7497"/>
        <s v="Call_7498"/>
        <s v="Call_7499"/>
        <s v="Call_7500"/>
        <s v="Call_7501"/>
        <s v="Call_7502"/>
        <s v="Call_7503"/>
        <s v="Call_7504"/>
        <s v="Call_7505"/>
        <s v="Call_7506"/>
        <s v="Call_7507"/>
        <s v="Call_7508"/>
        <s v="Call_7509"/>
        <s v="Call_7510"/>
        <s v="Call_7511"/>
        <s v="Call_7512"/>
        <s v="Call_7513"/>
        <s v="Call_7514"/>
        <s v="Call_7515"/>
        <s v="Call_7516"/>
        <s v="Call_7517"/>
        <s v="Call_7518"/>
        <s v="Call_7519"/>
        <s v="Call_7520"/>
        <s v="Call_7521"/>
        <s v="Call_7522"/>
        <s v="Call_7523"/>
        <s v="Call_7524"/>
        <s v="Call_7525"/>
        <s v="Call_7526"/>
        <s v="Call_7527"/>
        <s v="Call_7528"/>
        <s v="Call_7529"/>
        <s v="Call_7530"/>
        <s v="Call_7531"/>
        <s v="Call_7532"/>
        <s v="Call_7533"/>
        <s v="Call_7534"/>
        <s v="Call_7535"/>
        <s v="Call_7536"/>
        <s v="Call_7537"/>
        <s v="Call_7538"/>
        <s v="Call_7539"/>
        <s v="Call_7540"/>
        <s v="Call_7541"/>
        <s v="Call_7542"/>
        <s v="Call_7543"/>
        <s v="Call_7544"/>
        <s v="Call_7545"/>
        <s v="Call_7546"/>
        <s v="Call_7547"/>
        <s v="Call_7548"/>
        <s v="Call_7549"/>
        <s v="Call_7550"/>
        <s v="Call_7551"/>
        <s v="Call_7552"/>
        <s v="Call_7553"/>
        <s v="Call_7554"/>
        <s v="Call_7555"/>
        <s v="Call_7556"/>
        <s v="Call_7557"/>
        <s v="Call_7558"/>
        <s v="Call_7559"/>
        <s v="Call_7560"/>
        <s v="Call_7561"/>
        <s v="Call_7562"/>
        <s v="Call_7563"/>
        <s v="Call_7564"/>
        <s v="Call_7565"/>
        <s v="Call_7566"/>
        <s v="Call_7567"/>
        <s v="Call_7568"/>
        <s v="Call_7569"/>
        <s v="Call_7570"/>
        <s v="Call_7571"/>
        <s v="Call_7572"/>
        <s v="Call_7573"/>
        <s v="Call_7574"/>
        <s v="Call_7575"/>
        <s v="Call_7576"/>
        <s v="Call_7577"/>
        <s v="Call_7578"/>
        <s v="Call_7579"/>
        <s v="Call_7580"/>
        <s v="Call_7581"/>
        <s v="Call_7582"/>
        <s v="Call_7583"/>
        <s v="Call_7584"/>
        <s v="Call_7585"/>
        <s v="Call_7586"/>
        <s v="Call_7587"/>
        <s v="Call_7588"/>
        <s v="Call_7589"/>
        <s v="Call_7590"/>
        <s v="Call_7591"/>
        <s v="Call_7592"/>
        <s v="Call_7593"/>
        <s v="Call_7594"/>
        <s v="Call_7595"/>
        <s v="Call_7596"/>
        <s v="Call_7597"/>
        <s v="Call_7598"/>
        <s v="Call_7599"/>
        <s v="Call_7600"/>
        <s v="Call_7601"/>
        <s v="Call_7602"/>
        <s v="Call_7603"/>
        <s v="Call_7604"/>
        <s v="Call_7605"/>
        <s v="Call_7606"/>
        <s v="Call_7607"/>
        <s v="Call_7608"/>
        <s v="Call_7609"/>
        <s v="Call_7610"/>
        <s v="Call_7611"/>
        <s v="Call_7612"/>
        <s v="Call_7613"/>
        <s v="Call_7614"/>
        <s v="Call_7615"/>
        <s v="Call_7616"/>
        <s v="Call_7617"/>
        <s v="Call_7618"/>
        <s v="Call_7619"/>
        <s v="Call_7620"/>
        <s v="Call_7621"/>
        <s v="Call_7622"/>
        <s v="Call_7623"/>
        <s v="Call_7624"/>
        <s v="Call_7625"/>
        <s v="Call_7626"/>
        <s v="Call_7627"/>
        <s v="Call_7628"/>
        <s v="Call_7629"/>
        <s v="Call_7630"/>
        <s v="Call_7631"/>
        <s v="Call_7632"/>
        <s v="Call_7633"/>
        <s v="Call_7634"/>
        <s v="Call_7635"/>
        <s v="Call_7636"/>
        <s v="Call_7637"/>
        <s v="Call_7638"/>
        <s v="Call_7639"/>
        <s v="Call_7640"/>
        <s v="Call_7641"/>
        <s v="Call_7642"/>
        <s v="Call_7643"/>
        <s v="Call_7644"/>
        <s v="Call_7645"/>
        <s v="Call_7646"/>
        <s v="Call_7647"/>
        <s v="Call_7648"/>
        <s v="Call_7649"/>
        <s v="Call_7650"/>
        <s v="Call_7651"/>
        <s v="Call_7652"/>
        <s v="Call_7653"/>
        <s v="Call_7654"/>
        <s v="Call_7655"/>
        <s v="Call_7656"/>
        <s v="Call_7657"/>
        <s v="Call_7658"/>
        <s v="Call_7659"/>
        <s v="Call_7660"/>
        <s v="Call_7661"/>
        <s v="Call_7662"/>
        <s v="Call_7663"/>
        <s v="Call_7664"/>
        <s v="Call_7665"/>
        <s v="Call_7666"/>
        <s v="Call_7667"/>
        <s v="Call_7668"/>
        <s v="Call_7669"/>
        <s v="Call_7670"/>
        <s v="Call_7671"/>
        <s v="Call_7672"/>
        <s v="Call_7673"/>
        <s v="Call_7674"/>
        <s v="Call_7675"/>
        <s v="Call_7676"/>
        <s v="Call_7677"/>
        <s v="Call_7678"/>
        <s v="Call_7679"/>
        <s v="Call_7680"/>
        <s v="Call_7681"/>
        <s v="Call_7682"/>
        <s v="Call_7683"/>
        <s v="Call_7684"/>
        <s v="Call_7685"/>
        <s v="Call_7686"/>
        <s v="Call_7687"/>
        <s v="Call_7688"/>
        <s v="Call_7689"/>
        <s v="Call_7690"/>
        <s v="Call_7691"/>
        <s v="Call_7692"/>
        <s v="Call_7693"/>
        <s v="Call_7694"/>
        <s v="Call_7695"/>
        <s v="Call_7696"/>
        <s v="Call_7697"/>
        <s v="Call_7698"/>
        <s v="Call_7699"/>
        <s v="Call_7700"/>
        <s v="Call_7701"/>
        <s v="Call_7702"/>
        <s v="Call_7703"/>
        <s v="Call_7704"/>
        <s v="Call_7705"/>
        <s v="Call_7706"/>
        <s v="Call_7707"/>
        <s v="Call_7708"/>
        <s v="Call_7709"/>
        <s v="Call_7710"/>
        <s v="Call_7711"/>
        <s v="Call_7712"/>
        <s v="Call_7713"/>
        <s v="Call_7714"/>
        <s v="Call_7715"/>
        <s v="Call_7716"/>
        <s v="Call_7717"/>
        <s v="Call_7718"/>
        <s v="Call_7719"/>
        <s v="Call_7720"/>
        <s v="Call_7721"/>
        <s v="Call_7722"/>
        <s v="Call_7723"/>
        <s v="Call_7724"/>
        <s v="Call_7725"/>
        <s v="Call_7726"/>
        <s v="Call_7727"/>
        <s v="Call_7728"/>
        <s v="Call_7729"/>
        <s v="Call_7730"/>
        <s v="Call_7731"/>
        <s v="Call_7732"/>
        <s v="Call_7733"/>
        <s v="Call_7734"/>
        <s v="Call_7735"/>
        <s v="Call_7736"/>
        <s v="Call_7737"/>
        <s v="Call_7738"/>
        <s v="Call_7739"/>
        <s v="Call_7740"/>
        <s v="Call_7741"/>
        <s v="Call_7742"/>
        <s v="Call_7743"/>
        <s v="Call_7744"/>
        <s v="Call_7745"/>
        <s v="Call_7746"/>
        <s v="Call_7747"/>
        <s v="Call_7748"/>
        <s v="Call_7749"/>
        <s v="Call_7750"/>
        <s v="Call_7751"/>
        <s v="Call_7752"/>
        <s v="Call_7753"/>
        <s v="Call_7754"/>
        <s v="Call_7755"/>
        <s v="Call_7756"/>
        <s v="Call_7757"/>
        <s v="Call_7758"/>
        <s v="Call_7759"/>
        <s v="Call_7760"/>
        <s v="Call_7761"/>
        <s v="Call_7762"/>
        <s v="Call_7763"/>
        <s v="Call_7764"/>
        <s v="Call_7765"/>
        <s v="Call_7766"/>
        <s v="Call_7767"/>
        <s v="Call_7768"/>
        <s v="Call_7769"/>
        <s v="Call_7770"/>
        <s v="Call_7771"/>
        <s v="Call_7772"/>
        <s v="Call_7773"/>
        <s v="Call_7774"/>
        <s v="Call_7775"/>
        <s v="Call_7776"/>
        <s v="Call_7777"/>
        <s v="Call_7778"/>
        <s v="Call_7779"/>
        <s v="Call_7780"/>
        <s v="Call_7781"/>
        <s v="Call_7782"/>
        <s v="Call_7783"/>
        <s v="Call_7784"/>
        <s v="Call_7785"/>
        <s v="Call_7786"/>
        <s v="Call_7787"/>
        <s v="Call_7788"/>
        <s v="Call_7789"/>
        <s v="Call_7790"/>
        <s v="Call_7791"/>
        <s v="Call_7792"/>
        <s v="Call_7793"/>
        <s v="Call_7794"/>
        <s v="Call_7795"/>
        <s v="Call_7796"/>
        <s v="Call_7797"/>
        <s v="Call_7798"/>
        <s v="Call_7799"/>
        <s v="Call_7800"/>
        <s v="Call_7801"/>
        <s v="Call_7802"/>
        <s v="Call_7803"/>
        <s v="Call_7804"/>
        <s v="Call_7805"/>
        <s v="Call_7806"/>
        <s v="Call_7807"/>
        <s v="Call_7808"/>
        <s v="Call_7809"/>
        <s v="Call_7810"/>
        <s v="Call_7811"/>
        <s v="Call_7812"/>
        <s v="Call_7813"/>
        <s v="Call_7814"/>
        <s v="Call_7815"/>
        <s v="Call_7816"/>
        <s v="Call_7817"/>
        <s v="Call_7818"/>
        <s v="Call_7819"/>
        <s v="Call_7820"/>
        <s v="Call_7821"/>
        <s v="Call_7822"/>
        <s v="Call_7823"/>
        <s v="Call_7824"/>
        <s v="Call_7825"/>
        <s v="Call_7826"/>
        <s v="Call_7827"/>
        <s v="Call_7828"/>
        <s v="Call_7829"/>
        <s v="Call_7830"/>
        <s v="Call_7831"/>
        <s v="Call_7832"/>
        <s v="Call_7833"/>
        <s v="Call_7834"/>
        <s v="Call_7835"/>
        <s v="Call_7836"/>
        <s v="Call_7837"/>
        <s v="Call_7838"/>
        <s v="Call_7839"/>
        <s v="Call_7840"/>
        <s v="Call_7841"/>
        <s v="Call_7842"/>
        <s v="Call_7843"/>
        <s v="Call_7844"/>
        <s v="Call_7845"/>
        <s v="Call_7846"/>
        <s v="Call_7847"/>
        <s v="Call_7848"/>
        <s v="Call_7849"/>
        <s v="Call_7850"/>
        <s v="Call_7851"/>
        <s v="Call_7852"/>
        <s v="Call_7853"/>
        <s v="Call_7854"/>
        <s v="Call_7855"/>
        <s v="Call_7856"/>
        <s v="Call_7857"/>
        <s v="Call_7858"/>
        <s v="Call_7859"/>
        <s v="Call_7860"/>
        <s v="Call_7861"/>
        <s v="Call_7862"/>
        <s v="Call_7863"/>
        <s v="Call_7864"/>
        <s v="Call_7865"/>
        <s v="Call_7866"/>
        <s v="Call_7867"/>
        <s v="Call_7868"/>
        <s v="Call_7869"/>
        <s v="Call_7870"/>
        <s v="Call_7871"/>
        <s v="Call_7872"/>
        <s v="Call_7873"/>
        <s v="Call_7874"/>
        <s v="Call_7875"/>
        <s v="Call_7876"/>
        <s v="Call_7877"/>
        <s v="Call_7878"/>
        <s v="Call_7879"/>
        <s v="Call_7880"/>
        <s v="Call_7881"/>
        <s v="Call_7882"/>
        <s v="Call_7883"/>
        <s v="Call_7884"/>
        <s v="Call_7885"/>
        <s v="Call_7886"/>
        <s v="Call_7887"/>
        <s v="Call_7888"/>
        <s v="Call_7889"/>
        <s v="Call_7890"/>
        <s v="Call_7891"/>
        <s v="Call_7892"/>
        <s v="Call_7893"/>
        <s v="Call_7894"/>
        <s v="Call_7895"/>
        <s v="Call_7896"/>
        <s v="Call_7897"/>
        <s v="Call_7898"/>
        <s v="Call_7899"/>
        <s v="Call_7900"/>
        <s v="Call_7901"/>
        <s v="Call_7902"/>
        <s v="Call_7903"/>
        <s v="Call_7904"/>
        <s v="Call_7905"/>
        <s v="Call_7906"/>
        <s v="Call_7907"/>
        <s v="Call_7908"/>
        <s v="Call_7909"/>
        <s v="Call_7910"/>
        <s v="Call_7911"/>
        <s v="Call_7912"/>
        <s v="Call_7913"/>
        <s v="Call_7914"/>
        <s v="Call_7915"/>
        <s v="Call_7916"/>
        <s v="Call_7917"/>
        <s v="Call_7918"/>
        <s v="Call_7919"/>
        <s v="Call_7920"/>
        <s v="Call_7921"/>
        <s v="Call_7922"/>
        <s v="Call_7923"/>
        <s v="Call_7924"/>
        <s v="Call_7925"/>
        <s v="Call_7926"/>
        <s v="Call_7927"/>
        <s v="Call_7928"/>
        <s v="Call_7929"/>
        <s v="Call_7930"/>
        <s v="Call_7931"/>
        <s v="Call_7932"/>
        <s v="Call_7933"/>
        <s v="Call_7934"/>
        <s v="Call_7935"/>
        <s v="Call_7936"/>
        <s v="Call_7937"/>
        <s v="Call_7938"/>
        <s v="Call_7939"/>
        <s v="Call_7940"/>
        <s v="Call_7941"/>
        <s v="Call_7942"/>
        <s v="Call_7943"/>
        <s v="Call_7944"/>
        <s v="Call_7945"/>
        <s v="Call_7946"/>
        <s v="Call_7947"/>
        <s v="Call_7948"/>
        <s v="Call_7949"/>
        <s v="Call_7950"/>
        <s v="Call_7951"/>
        <s v="Call_7952"/>
        <s v="Call_7953"/>
        <s v="Call_7954"/>
        <s v="Call_7955"/>
        <s v="Call_7956"/>
        <s v="Call_7957"/>
        <s v="Call_7958"/>
        <s v="Call_7959"/>
        <s v="Call_7960"/>
        <s v="Call_7961"/>
        <s v="Call_7962"/>
        <s v="Call_7963"/>
        <s v="Call_7964"/>
        <s v="Call_7965"/>
        <s v="Call_7966"/>
        <s v="Call_7967"/>
        <s v="Call_7968"/>
        <s v="Call_7969"/>
        <s v="Call_7970"/>
        <s v="Call_7971"/>
        <s v="Call_7972"/>
        <s v="Call_7973"/>
        <s v="Call_7974"/>
        <s v="Call_7975"/>
        <s v="Call_7976"/>
        <s v="Call_7977"/>
        <s v="Call_7978"/>
        <s v="Call_7979"/>
        <s v="Call_7980"/>
        <s v="Call_7981"/>
        <s v="Call_7982"/>
        <s v="Call_7983"/>
        <s v="Call_7984"/>
        <s v="Call_7985"/>
        <s v="Call_7986"/>
        <s v="Call_7987"/>
        <s v="Call_7988"/>
        <s v="Call_7989"/>
        <s v="Call_7990"/>
        <s v="Call_7991"/>
        <s v="Call_7992"/>
        <s v="Call_7993"/>
        <s v="Call_7994"/>
        <s v="Call_7995"/>
        <s v="Call_7996"/>
        <s v="Call_7997"/>
        <s v="Call_7998"/>
        <s v="Call_7999"/>
        <s v="Call_8000"/>
        <s v="Call_8001"/>
        <s v="Call_8002"/>
        <s v="Call_8003"/>
        <s v="Call_8004"/>
        <s v="Call_8005"/>
        <s v="Call_8006"/>
        <s v="Call_8007"/>
        <s v="Call_8008"/>
        <s v="Call_8009"/>
        <s v="Call_8010"/>
        <s v="Call_8011"/>
        <s v="Call_8012"/>
        <s v="Call_8013"/>
        <s v="Call_8014"/>
        <s v="Call_8015"/>
        <s v="Call_8016"/>
        <s v="Call_8017"/>
        <s v="Call_8018"/>
        <s v="Call_8019"/>
        <s v="Call_8020"/>
        <s v="Call_8021"/>
        <s v="Call_8022"/>
        <s v="Call_8023"/>
        <s v="Call_8024"/>
        <s v="Call_8025"/>
        <s v="Call_8026"/>
        <s v="Call_8027"/>
        <s v="Call_8028"/>
        <s v="Call_8029"/>
        <s v="Call_8030"/>
        <s v="Call_8031"/>
        <s v="Call_8032"/>
        <s v="Call_8033"/>
        <s v="Call_8034"/>
        <s v="Call_8035"/>
        <s v="Call_8036"/>
        <s v="Call_8037"/>
        <s v="Call_8038"/>
        <s v="Call_8039"/>
        <s v="Call_8040"/>
        <s v="Call_8041"/>
        <s v="Call_8042"/>
        <s v="Call_8043"/>
        <s v="Call_8044"/>
        <s v="Call_8045"/>
        <s v="Call_8046"/>
        <s v="Call_8047"/>
        <s v="Call_8048"/>
        <s v="Call_8049"/>
        <s v="Call_8050"/>
        <s v="Call_8051"/>
        <s v="Call_8052"/>
        <s v="Call_8053"/>
        <s v="Call_8054"/>
        <s v="Call_8055"/>
        <s v="Call_8056"/>
        <s v="Call_8057"/>
        <s v="Call_8058"/>
        <s v="Call_8059"/>
        <s v="Call_8060"/>
        <s v="Call_8061"/>
        <s v="Call_8062"/>
        <s v="Call_8063"/>
        <s v="Call_8064"/>
        <s v="Call_8065"/>
        <s v="Call_8066"/>
        <s v="Call_8067"/>
        <s v="Call_8068"/>
        <s v="Call_8069"/>
        <s v="Call_8070"/>
        <s v="Call_8071"/>
        <s v="Call_8072"/>
        <s v="Call_8073"/>
        <s v="Call_8074"/>
        <s v="Call_8075"/>
        <s v="Call_8076"/>
        <s v="Call_8077"/>
        <s v="Call_8078"/>
        <s v="Call_8079"/>
        <s v="Call_8080"/>
        <s v="Call_8081"/>
        <s v="Call_8082"/>
        <s v="Call_8083"/>
        <s v="Call_8084"/>
        <s v="Call_8085"/>
        <s v="Call_8086"/>
        <s v="Call_8087"/>
        <s v="Call_8088"/>
        <s v="Call_8089"/>
        <s v="Call_8090"/>
        <s v="Call_8091"/>
        <s v="Call_8092"/>
        <s v="Call_8093"/>
        <s v="Call_8094"/>
        <s v="Call_8095"/>
        <s v="Call_8096"/>
        <s v="Call_8097"/>
        <s v="Call_8098"/>
        <s v="Call_8099"/>
        <s v="Call_8100"/>
        <s v="Call_8101"/>
        <s v="Call_8102"/>
        <s v="Call_8103"/>
        <s v="Call_8104"/>
        <s v="Call_8105"/>
        <s v="Call_8106"/>
        <s v="Call_8107"/>
        <s v="Call_8108"/>
        <s v="Call_8109"/>
        <s v="Call_8110"/>
        <s v="Call_8111"/>
        <s v="Call_8112"/>
        <s v="Call_8113"/>
        <s v="Call_8114"/>
        <s v="Call_8115"/>
        <s v="Call_8116"/>
        <s v="Call_8117"/>
        <s v="Call_8118"/>
        <s v="Call_8119"/>
        <s v="Call_8120"/>
        <s v="Call_8121"/>
        <s v="Call_8122"/>
        <s v="Call_8123"/>
        <s v="Call_8124"/>
        <s v="Call_8125"/>
        <s v="Call_8126"/>
        <s v="Call_8127"/>
        <s v="Call_8128"/>
        <s v="Call_8129"/>
        <s v="Call_8130"/>
        <s v="Call_8131"/>
        <s v="Call_8132"/>
        <s v="Call_8133"/>
        <s v="Call_8134"/>
        <s v="Call_8135"/>
        <s v="Call_8136"/>
        <s v="Call_8137"/>
        <s v="Call_8138"/>
        <s v="Call_8139"/>
        <s v="Call_8140"/>
        <s v="Call_8141"/>
        <s v="Call_8142"/>
        <s v="Call_8143"/>
        <s v="Call_8144"/>
        <s v="Call_8145"/>
        <s v="Call_8146"/>
        <s v="Call_8147"/>
        <s v="Call_8148"/>
        <s v="Call_8149"/>
        <s v="Call_8150"/>
        <s v="Call_8151"/>
        <s v="Call_8152"/>
        <s v="Call_8153"/>
        <s v="Call_8154"/>
        <s v="Call_8155"/>
        <s v="Call_8156"/>
        <s v="Call_8157"/>
        <s v="Call_8158"/>
        <s v="Call_8159"/>
        <s v="Call_8160"/>
        <s v="Call_8161"/>
        <s v="Call_8162"/>
        <s v="Call_8163"/>
        <s v="Call_8164"/>
        <s v="Call_8165"/>
        <s v="Call_8166"/>
        <s v="Call_8167"/>
        <s v="Call_8168"/>
        <s v="Call_8169"/>
        <s v="Call_8170"/>
        <s v="Call_8171"/>
        <s v="Call_8172"/>
        <s v="Call_8173"/>
        <s v="Call_8174"/>
        <s v="Call_8175"/>
        <s v="Call_8176"/>
        <s v="Call_8177"/>
        <s v="Call_8178"/>
        <s v="Call_8179"/>
        <s v="Call_8180"/>
        <s v="Call_8181"/>
        <s v="Call_8182"/>
        <s v="Call_8183"/>
        <s v="Call_8184"/>
        <s v="Call_8185"/>
        <s v="Call_8186"/>
        <s v="Call_8187"/>
        <s v="Call_8188"/>
        <s v="Call_8189"/>
        <s v="Call_8190"/>
        <s v="Call_8191"/>
        <s v="Call_8192"/>
        <s v="Call_8193"/>
        <s v="Call_8194"/>
        <s v="Call_8195"/>
        <s v="Call_8196"/>
        <s v="Call_8197"/>
        <s v="Call_8198"/>
        <s v="Call_8199"/>
        <s v="Call_8200"/>
        <s v="Call_8201"/>
        <s v="Call_8202"/>
        <s v="Call_8203"/>
        <s v="Call_8204"/>
        <s v="Call_8205"/>
        <s v="Call_8206"/>
        <s v="Call_8207"/>
        <s v="Call_8208"/>
        <s v="Call_8209"/>
        <s v="Call_8210"/>
        <s v="Call_8211"/>
        <s v="Call_8212"/>
        <s v="Call_8213"/>
        <s v="Call_8214"/>
        <s v="Call_8215"/>
        <s v="Call_8216"/>
        <s v="Call_8217"/>
        <s v="Call_8218"/>
        <s v="Call_8219"/>
        <s v="Call_8220"/>
        <s v="Call_8221"/>
        <s v="Call_8222"/>
        <s v="Call_8223"/>
        <s v="Call_8224"/>
        <s v="Call_8225"/>
        <s v="Call_8226"/>
        <s v="Call_8227"/>
        <s v="Call_8228"/>
        <s v="Call_8229"/>
        <s v="Call_8230"/>
        <s v="Call_8231"/>
        <s v="Call_8232"/>
        <s v="Call_8233"/>
        <s v="Call_8234"/>
        <s v="Call_8235"/>
        <s v="Call_8236"/>
        <s v="Call_8237"/>
        <s v="Call_8238"/>
        <s v="Call_8239"/>
        <s v="Call_8240"/>
        <s v="Call_8241"/>
        <s v="Call_8242"/>
        <s v="Call_8243"/>
        <s v="Call_8244"/>
        <s v="Call_8245"/>
        <s v="Call_8246"/>
        <s v="Call_8247"/>
        <s v="Call_8248"/>
        <s v="Call_8249"/>
        <s v="Call_8250"/>
        <s v="Call_8251"/>
        <s v="Call_8252"/>
        <s v="Call_8253"/>
        <s v="Call_8254"/>
        <s v="Call_8255"/>
        <s v="Call_8256"/>
        <s v="Call_8257"/>
        <s v="Call_8258"/>
        <s v="Call_8259"/>
        <s v="Call_8260"/>
        <s v="Call_8261"/>
        <s v="Call_8262"/>
        <s v="Call_8263"/>
        <s v="Call_8264"/>
        <s v="Call_8265"/>
        <s v="Call_8266"/>
        <s v="Call_8267"/>
        <s v="Call_8268"/>
        <s v="Call_8269"/>
        <s v="Call_8270"/>
      </sharedItems>
    </cacheField>
    <cacheField name="Customer ID" numFmtId="0">
      <sharedItems/>
    </cacheField>
    <cacheField name="Duration" numFmtId="0">
      <sharedItems containsSemiMixedTypes="0" containsString="0" containsNumber="1" containsInteger="1" minValue="2" maxValue="176" count="164">
        <n v="116"/>
        <n v="119"/>
        <n v="68"/>
        <n v="128"/>
        <n v="49"/>
        <n v="84"/>
        <n v="103"/>
        <n v="31"/>
        <n v="44"/>
        <n v="102"/>
        <n v="135"/>
        <n v="98"/>
        <n v="139"/>
        <n v="48"/>
        <n v="176"/>
        <n v="99"/>
        <n v="28"/>
        <n v="54"/>
        <n v="38"/>
        <n v="67"/>
        <n v="58"/>
        <n v="73"/>
        <n v="81"/>
        <n v="155"/>
        <n v="80"/>
        <n v="82"/>
        <n v="29"/>
        <n v="160"/>
        <n v="105"/>
        <n v="75"/>
        <n v="94"/>
        <n v="90"/>
        <n v="106"/>
        <n v="74"/>
        <n v="89"/>
        <n v="132"/>
        <n v="13"/>
        <n v="131"/>
        <n v="104"/>
        <n v="37"/>
        <n v="149"/>
        <n v="100"/>
        <n v="79"/>
        <n v="157"/>
        <n v="59"/>
        <n v="83"/>
        <n v="118"/>
        <n v="63"/>
        <n v="95"/>
        <n v="130"/>
        <n v="110"/>
        <n v="71"/>
        <n v="147"/>
        <n v="69"/>
        <n v="50"/>
        <n v="124"/>
        <n v="141"/>
        <n v="168"/>
        <n v="101"/>
        <n v="114"/>
        <n v="42"/>
        <n v="145"/>
        <n v="43"/>
        <n v="62"/>
        <n v="45"/>
        <n v="137"/>
        <n v="109"/>
        <n v="78"/>
        <n v="47"/>
        <n v="87"/>
        <n v="143"/>
        <n v="55"/>
        <n v="152"/>
        <n v="60"/>
        <n v="96"/>
        <n v="111"/>
        <n v="127"/>
        <n v="76"/>
        <n v="30"/>
        <n v="19"/>
        <n v="27"/>
        <n v="32"/>
        <n v="57"/>
        <n v="65"/>
        <n v="61"/>
        <n v="154"/>
        <n v="115"/>
        <n v="138"/>
        <n v="153"/>
        <n v="151"/>
        <n v="64"/>
        <n v="6"/>
        <n v="129"/>
        <n v="53"/>
        <n v="166"/>
        <n v="70"/>
        <n v="86"/>
        <n v="113"/>
        <n v="21"/>
        <n v="107"/>
        <n v="11"/>
        <n v="40"/>
        <n v="92"/>
        <n v="41"/>
        <n v="134"/>
        <n v="20"/>
        <n v="85"/>
        <n v="93"/>
        <n v="56"/>
        <n v="46"/>
        <n v="121"/>
        <n v="144"/>
        <n v="142"/>
        <n v="72"/>
        <n v="123"/>
        <n v="140"/>
        <n v="126"/>
        <n v="88"/>
        <n v="125"/>
        <n v="158"/>
        <n v="77"/>
        <n v="39"/>
        <n v="133"/>
        <n v="23"/>
        <n v="150"/>
        <n v="36"/>
        <n v="8"/>
        <n v="159"/>
        <n v="25"/>
        <n v="91"/>
        <n v="108"/>
        <n v="66"/>
        <n v="17"/>
        <n v="165"/>
        <n v="120"/>
        <n v="24"/>
        <n v="163"/>
        <n v="26"/>
        <n v="15"/>
        <n v="156"/>
        <n v="14"/>
        <n v="112"/>
        <n v="35"/>
        <n v="52"/>
        <n v="34"/>
        <n v="51"/>
        <n v="117"/>
        <n v="33"/>
        <n v="146"/>
        <n v="148"/>
        <n v="122"/>
        <n v="136"/>
        <n v="172"/>
        <n v="162"/>
        <n v="10"/>
        <n v="164"/>
        <n v="97"/>
        <n v="18"/>
        <n v="12"/>
        <n v="4"/>
        <n v="173"/>
        <n v="171"/>
        <n v="2"/>
        <n v="7"/>
      </sharedItems>
    </cacheField>
    <cacheField name="Representative" numFmtId="2">
      <sharedItems count="5">
        <s v="R05"/>
        <s v="R02"/>
        <s v="R01"/>
        <s v="R04"/>
        <s v="R03"/>
      </sharedItems>
    </cacheField>
    <cacheField name="Date of Call" numFmtId="164">
      <sharedItems containsSemiMixedTypes="0" containsNonDate="0" containsDate="1" containsString="0" minDate="2023-01-01T00:00:00" maxDate="2024-01-01T00:00:00" count="33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2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4T00:00:00"/>
        <d v="2023-02-05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5T00:00:00"/>
        <d v="2023-07-26T00:00:00"/>
        <d v="2023-07-27T00:00:00"/>
        <d v="2023-07-28T00:00:00"/>
        <d v="2023-07-29T00:00:00"/>
        <d v="2023-07-3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10T00:00:00"/>
        <d v="2023-08-12T00:00:00"/>
        <d v="2023-08-13T00:00:00"/>
        <d v="2023-08-16T00:00:00"/>
        <d v="2023-08-17T00:00:00"/>
        <d v="2023-08-18T00:00:00"/>
        <d v="2023-08-19T00:00:00"/>
        <d v="2023-08-20T00:00:00"/>
        <d v="2023-08-21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3T00:00:00"/>
        <d v="2023-11-24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12"/>
    </cacheField>
    <cacheField name="Purchase Amount" numFmtId="0">
      <sharedItems containsSemiMixedTypes="0" containsString="0" containsNumber="1" containsInteger="1" minValue="20" maxValue="225"/>
    </cacheField>
    <cacheField name="Satisfaction Rating" numFmtId="0">
      <sharedItems containsSemiMixedTypes="0" containsString="0" containsNumber="1" minValue="0" maxValue="5" count="43">
        <n v="4.9000000000000004"/>
        <n v="2.9"/>
        <n v="4.7"/>
        <n v="2.8"/>
        <n v="4.8"/>
        <n v="4.4000000000000004"/>
        <n v="3.6"/>
        <n v="3.4"/>
        <n v="3.5"/>
        <n v="4"/>
        <n v="3.9"/>
        <n v="3.8"/>
        <n v="4.3"/>
        <n v="5"/>
        <n v="4.5"/>
        <n v="2.1"/>
        <n v="3.3"/>
        <n v="4.0999999999999996"/>
        <n v="4.2"/>
        <n v="4.5999999999999996"/>
        <n v="3.7"/>
        <n v="2.4"/>
        <n v="3.1"/>
        <n v="3.2"/>
        <n v="2.2999999999999998"/>
        <n v="2.5"/>
        <n v="2"/>
        <n v="2.6"/>
        <n v="0"/>
        <n v="1.9"/>
        <n v="2.2000000000000002"/>
        <n v="1.1000000000000001"/>
        <n v="1.8"/>
        <n v="1"/>
        <n v="2.7"/>
        <n v="3"/>
        <n v="0.7"/>
        <n v="1.6"/>
        <n v="1.5"/>
        <n v="1.2"/>
        <n v="1.3"/>
        <n v="0.9"/>
        <n v="1.7"/>
      </sharedItems>
    </cacheField>
    <cacheField name="Financial Year" numFmtId="0">
      <sharedItems containsSemiMixedTypes="0" containsString="0" containsNumber="1" containsInteger="1" minValue="2023" maxValue="2024"/>
    </cacheField>
    <cacheField name="Day of week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Duration Bucket" numFmtId="0">
      <sharedItems count="5">
        <s v="1 to 2 hours"/>
        <s v="More than 2 hours"/>
        <s v="30 to 60 mins"/>
        <s v="10 to 30 mins"/>
        <s v="Under 10 mins"/>
      </sharedItems>
    </cacheField>
    <cacheField name="Rating rounded" numFmtId="0">
      <sharedItems containsSemiMixedTypes="0" containsString="0" containsNumber="1" containsInteger="1" minValue="0" maxValue="5"/>
    </cacheField>
    <cacheField name="Days (Date of Call)" numFmtId="0" databaseField="0">
      <fieldGroup base="4">
        <rangePr groupBy="days" startDate="2023-01-01T00:00:00" endDate="2024-01-01T00:00:00"/>
        <groupItems count="368">
          <s v="&lt;1/0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01/2024"/>
        </groupItems>
      </fieldGroup>
    </cacheField>
    <cacheField name="Months (Date of Call)" numFmtId="0" databaseField="0">
      <fieldGroup base="4">
        <rangePr groupBy="months" startDate="2023-01-01T00:00:00" endDate="2024-01-01T00:00:00"/>
        <groupItems count="14">
          <s v="&lt;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C0003"/>
    <x v="0"/>
    <x v="0"/>
    <x v="0"/>
    <n v="128"/>
    <x v="0"/>
    <n v="2023"/>
    <x v="0"/>
    <x v="0"/>
    <n v="5"/>
  </r>
  <r>
    <x v="1"/>
    <s v="C0004"/>
    <x v="1"/>
    <x v="0"/>
    <x v="0"/>
    <n v="135"/>
    <x v="1"/>
    <n v="2023"/>
    <x v="0"/>
    <x v="0"/>
    <n v="3"/>
  </r>
  <r>
    <x v="2"/>
    <s v="C0005"/>
    <x v="2"/>
    <x v="1"/>
    <x v="0"/>
    <n v="66"/>
    <x v="2"/>
    <n v="2023"/>
    <x v="0"/>
    <x v="0"/>
    <n v="5"/>
  </r>
  <r>
    <x v="3"/>
    <s v="C0014"/>
    <x v="1"/>
    <x v="1"/>
    <x v="0"/>
    <n v="22"/>
    <x v="1"/>
    <n v="2023"/>
    <x v="0"/>
    <x v="0"/>
    <n v="3"/>
  </r>
  <r>
    <x v="4"/>
    <s v="C0011"/>
    <x v="3"/>
    <x v="2"/>
    <x v="1"/>
    <n v="31"/>
    <x v="3"/>
    <n v="2023"/>
    <x v="1"/>
    <x v="1"/>
    <n v="3"/>
  </r>
  <r>
    <x v="5"/>
    <s v="C0011"/>
    <x v="4"/>
    <x v="1"/>
    <x v="2"/>
    <n v="135"/>
    <x v="4"/>
    <n v="2023"/>
    <x v="2"/>
    <x v="2"/>
    <n v="5"/>
  </r>
  <r>
    <x v="6"/>
    <s v="C0007"/>
    <x v="5"/>
    <x v="0"/>
    <x v="2"/>
    <n v="60"/>
    <x v="2"/>
    <n v="2023"/>
    <x v="2"/>
    <x v="0"/>
    <n v="5"/>
  </r>
  <r>
    <x v="7"/>
    <s v="C0003"/>
    <x v="6"/>
    <x v="3"/>
    <x v="2"/>
    <n v="148"/>
    <x v="5"/>
    <n v="2023"/>
    <x v="2"/>
    <x v="0"/>
    <n v="4"/>
  </r>
  <r>
    <x v="8"/>
    <s v="C0005"/>
    <x v="7"/>
    <x v="1"/>
    <x v="2"/>
    <n v="135"/>
    <x v="6"/>
    <n v="2023"/>
    <x v="2"/>
    <x v="2"/>
    <n v="4"/>
  </r>
  <r>
    <x v="9"/>
    <s v="C0010"/>
    <x v="8"/>
    <x v="4"/>
    <x v="2"/>
    <n v="105"/>
    <x v="1"/>
    <n v="2023"/>
    <x v="2"/>
    <x v="2"/>
    <n v="3"/>
  </r>
  <r>
    <x v="10"/>
    <s v="C0011"/>
    <x v="9"/>
    <x v="1"/>
    <x v="2"/>
    <n v="69"/>
    <x v="0"/>
    <n v="2023"/>
    <x v="2"/>
    <x v="0"/>
    <n v="5"/>
  </r>
  <r>
    <x v="11"/>
    <s v="C0013"/>
    <x v="10"/>
    <x v="0"/>
    <x v="2"/>
    <n v="46"/>
    <x v="7"/>
    <n v="2023"/>
    <x v="2"/>
    <x v="1"/>
    <n v="3"/>
  </r>
  <r>
    <x v="12"/>
    <s v="C0002"/>
    <x v="11"/>
    <x v="1"/>
    <x v="3"/>
    <n v="108"/>
    <x v="8"/>
    <n v="2023"/>
    <x v="3"/>
    <x v="0"/>
    <n v="4"/>
  </r>
  <r>
    <x v="13"/>
    <s v="C0010"/>
    <x v="12"/>
    <x v="1"/>
    <x v="3"/>
    <n v="96"/>
    <x v="9"/>
    <n v="2023"/>
    <x v="3"/>
    <x v="1"/>
    <n v="4"/>
  </r>
  <r>
    <x v="14"/>
    <s v="C0013"/>
    <x v="13"/>
    <x v="2"/>
    <x v="3"/>
    <n v="68"/>
    <x v="0"/>
    <n v="2023"/>
    <x v="3"/>
    <x v="2"/>
    <n v="5"/>
  </r>
  <r>
    <x v="15"/>
    <s v="C0010"/>
    <x v="14"/>
    <x v="0"/>
    <x v="4"/>
    <n v="24"/>
    <x v="4"/>
    <n v="2023"/>
    <x v="4"/>
    <x v="1"/>
    <n v="5"/>
  </r>
  <r>
    <x v="16"/>
    <s v="C0010"/>
    <x v="15"/>
    <x v="2"/>
    <x v="4"/>
    <n v="195"/>
    <x v="10"/>
    <n v="2023"/>
    <x v="4"/>
    <x v="0"/>
    <n v="4"/>
  </r>
  <r>
    <x v="17"/>
    <s v="C0009"/>
    <x v="16"/>
    <x v="4"/>
    <x v="4"/>
    <n v="28"/>
    <x v="11"/>
    <n v="2023"/>
    <x v="4"/>
    <x v="3"/>
    <n v="4"/>
  </r>
  <r>
    <x v="18"/>
    <s v="C0007"/>
    <x v="17"/>
    <x v="1"/>
    <x v="4"/>
    <n v="170"/>
    <x v="12"/>
    <n v="2023"/>
    <x v="4"/>
    <x v="2"/>
    <n v="4"/>
  </r>
  <r>
    <x v="19"/>
    <s v="C0006"/>
    <x v="13"/>
    <x v="0"/>
    <x v="5"/>
    <n v="30"/>
    <x v="5"/>
    <n v="2023"/>
    <x v="5"/>
    <x v="2"/>
    <n v="4"/>
  </r>
  <r>
    <x v="20"/>
    <s v="C0004"/>
    <x v="3"/>
    <x v="0"/>
    <x v="5"/>
    <n v="72"/>
    <x v="13"/>
    <n v="2023"/>
    <x v="5"/>
    <x v="1"/>
    <n v="5"/>
  </r>
  <r>
    <x v="21"/>
    <s v="C0004"/>
    <x v="18"/>
    <x v="3"/>
    <x v="6"/>
    <n v="92"/>
    <x v="0"/>
    <n v="2023"/>
    <x v="6"/>
    <x v="2"/>
    <n v="5"/>
  </r>
  <r>
    <x v="22"/>
    <s v="C0003"/>
    <x v="19"/>
    <x v="3"/>
    <x v="7"/>
    <n v="165"/>
    <x v="14"/>
    <n v="2023"/>
    <x v="0"/>
    <x v="0"/>
    <n v="5"/>
  </r>
  <r>
    <x v="23"/>
    <s v="C0015"/>
    <x v="20"/>
    <x v="1"/>
    <x v="7"/>
    <n v="140"/>
    <x v="15"/>
    <n v="2023"/>
    <x v="0"/>
    <x v="2"/>
    <n v="2"/>
  </r>
  <r>
    <x v="24"/>
    <s v="C0010"/>
    <x v="17"/>
    <x v="2"/>
    <x v="7"/>
    <n v="111"/>
    <x v="16"/>
    <n v="2023"/>
    <x v="0"/>
    <x v="2"/>
    <n v="3"/>
  </r>
  <r>
    <x v="25"/>
    <s v="C0012"/>
    <x v="16"/>
    <x v="0"/>
    <x v="8"/>
    <n v="63"/>
    <x v="17"/>
    <n v="2023"/>
    <x v="1"/>
    <x v="3"/>
    <n v="4"/>
  </r>
  <r>
    <x v="26"/>
    <s v="C0002"/>
    <x v="21"/>
    <x v="0"/>
    <x v="8"/>
    <n v="80"/>
    <x v="18"/>
    <n v="2023"/>
    <x v="1"/>
    <x v="0"/>
    <n v="4"/>
  </r>
  <r>
    <x v="27"/>
    <s v="C0011"/>
    <x v="22"/>
    <x v="0"/>
    <x v="9"/>
    <n v="50"/>
    <x v="19"/>
    <n v="2023"/>
    <x v="2"/>
    <x v="0"/>
    <n v="5"/>
  </r>
  <r>
    <x v="28"/>
    <s v="C0009"/>
    <x v="7"/>
    <x v="3"/>
    <x v="9"/>
    <n v="123"/>
    <x v="1"/>
    <n v="2023"/>
    <x v="2"/>
    <x v="2"/>
    <n v="3"/>
  </r>
  <r>
    <x v="29"/>
    <s v="C0015"/>
    <x v="23"/>
    <x v="2"/>
    <x v="9"/>
    <n v="110"/>
    <x v="4"/>
    <n v="2023"/>
    <x v="2"/>
    <x v="1"/>
    <n v="5"/>
  </r>
  <r>
    <x v="30"/>
    <s v="C0009"/>
    <x v="24"/>
    <x v="0"/>
    <x v="9"/>
    <n v="140"/>
    <x v="18"/>
    <n v="2023"/>
    <x v="2"/>
    <x v="0"/>
    <n v="4"/>
  </r>
  <r>
    <x v="31"/>
    <s v="C0011"/>
    <x v="25"/>
    <x v="0"/>
    <x v="10"/>
    <n v="42"/>
    <x v="20"/>
    <n v="2023"/>
    <x v="4"/>
    <x v="0"/>
    <n v="4"/>
  </r>
  <r>
    <x v="32"/>
    <s v="C0011"/>
    <x v="26"/>
    <x v="2"/>
    <x v="10"/>
    <n v="170"/>
    <x v="13"/>
    <n v="2023"/>
    <x v="4"/>
    <x v="3"/>
    <n v="5"/>
  </r>
  <r>
    <x v="33"/>
    <s v="C0006"/>
    <x v="27"/>
    <x v="1"/>
    <x v="11"/>
    <n v="105"/>
    <x v="13"/>
    <n v="2023"/>
    <x v="6"/>
    <x v="1"/>
    <n v="5"/>
  </r>
  <r>
    <x v="34"/>
    <s v="C0001"/>
    <x v="28"/>
    <x v="0"/>
    <x v="12"/>
    <n v="125"/>
    <x v="4"/>
    <n v="2023"/>
    <x v="0"/>
    <x v="0"/>
    <n v="5"/>
  </r>
  <r>
    <x v="35"/>
    <s v="C0009"/>
    <x v="29"/>
    <x v="4"/>
    <x v="12"/>
    <n v="26"/>
    <x v="21"/>
    <n v="2023"/>
    <x v="0"/>
    <x v="0"/>
    <n v="2"/>
  </r>
  <r>
    <x v="36"/>
    <s v="C0015"/>
    <x v="30"/>
    <x v="4"/>
    <x v="13"/>
    <n v="120"/>
    <x v="22"/>
    <n v="2023"/>
    <x v="1"/>
    <x v="0"/>
    <n v="3"/>
  </r>
  <r>
    <x v="37"/>
    <s v="C0004"/>
    <x v="31"/>
    <x v="1"/>
    <x v="13"/>
    <n v="132"/>
    <x v="23"/>
    <n v="2023"/>
    <x v="1"/>
    <x v="0"/>
    <n v="3"/>
  </r>
  <r>
    <x v="38"/>
    <s v="C0015"/>
    <x v="22"/>
    <x v="3"/>
    <x v="14"/>
    <n v="86"/>
    <x v="21"/>
    <n v="2023"/>
    <x v="2"/>
    <x v="0"/>
    <n v="2"/>
  </r>
  <r>
    <x v="39"/>
    <s v="C0009"/>
    <x v="32"/>
    <x v="0"/>
    <x v="14"/>
    <n v="108"/>
    <x v="13"/>
    <n v="2023"/>
    <x v="2"/>
    <x v="0"/>
    <n v="5"/>
  </r>
  <r>
    <x v="40"/>
    <s v="C0004"/>
    <x v="33"/>
    <x v="3"/>
    <x v="14"/>
    <n v="96"/>
    <x v="2"/>
    <n v="2023"/>
    <x v="2"/>
    <x v="0"/>
    <n v="5"/>
  </r>
  <r>
    <x v="41"/>
    <s v="C0010"/>
    <x v="28"/>
    <x v="1"/>
    <x v="15"/>
    <n v="80"/>
    <x v="2"/>
    <n v="2023"/>
    <x v="3"/>
    <x v="0"/>
    <n v="5"/>
  </r>
  <r>
    <x v="42"/>
    <s v="C0009"/>
    <x v="34"/>
    <x v="0"/>
    <x v="15"/>
    <n v="155"/>
    <x v="17"/>
    <n v="2023"/>
    <x v="3"/>
    <x v="0"/>
    <n v="4"/>
  </r>
  <r>
    <x v="43"/>
    <s v="C0013"/>
    <x v="35"/>
    <x v="4"/>
    <x v="15"/>
    <n v="168"/>
    <x v="17"/>
    <n v="2023"/>
    <x v="3"/>
    <x v="1"/>
    <n v="4"/>
  </r>
  <r>
    <x v="44"/>
    <s v="C0001"/>
    <x v="28"/>
    <x v="2"/>
    <x v="15"/>
    <n v="56"/>
    <x v="6"/>
    <n v="2023"/>
    <x v="3"/>
    <x v="0"/>
    <n v="4"/>
  </r>
  <r>
    <x v="45"/>
    <s v="C0011"/>
    <x v="36"/>
    <x v="4"/>
    <x v="16"/>
    <n v="32"/>
    <x v="5"/>
    <n v="2023"/>
    <x v="4"/>
    <x v="3"/>
    <n v="4"/>
  </r>
  <r>
    <x v="46"/>
    <s v="C0014"/>
    <x v="37"/>
    <x v="2"/>
    <x v="16"/>
    <n v="78"/>
    <x v="5"/>
    <n v="2023"/>
    <x v="4"/>
    <x v="1"/>
    <n v="4"/>
  </r>
  <r>
    <x v="47"/>
    <s v="C0004"/>
    <x v="38"/>
    <x v="0"/>
    <x v="16"/>
    <n v="86"/>
    <x v="9"/>
    <n v="2023"/>
    <x v="4"/>
    <x v="0"/>
    <n v="4"/>
  </r>
  <r>
    <x v="48"/>
    <s v="C0003"/>
    <x v="31"/>
    <x v="1"/>
    <x v="17"/>
    <n v="64"/>
    <x v="11"/>
    <n v="2023"/>
    <x v="5"/>
    <x v="0"/>
    <n v="4"/>
  </r>
  <r>
    <x v="49"/>
    <s v="C0012"/>
    <x v="39"/>
    <x v="1"/>
    <x v="17"/>
    <n v="96"/>
    <x v="6"/>
    <n v="2023"/>
    <x v="5"/>
    <x v="2"/>
    <n v="4"/>
  </r>
  <r>
    <x v="50"/>
    <s v="C0002"/>
    <x v="40"/>
    <x v="2"/>
    <x v="17"/>
    <n v="72"/>
    <x v="12"/>
    <n v="2023"/>
    <x v="5"/>
    <x v="1"/>
    <n v="4"/>
  </r>
  <r>
    <x v="51"/>
    <s v="C0013"/>
    <x v="41"/>
    <x v="3"/>
    <x v="18"/>
    <n v="135"/>
    <x v="11"/>
    <n v="2023"/>
    <x v="6"/>
    <x v="0"/>
    <n v="4"/>
  </r>
  <r>
    <x v="52"/>
    <s v="C0013"/>
    <x v="42"/>
    <x v="4"/>
    <x v="18"/>
    <n v="140"/>
    <x v="14"/>
    <n v="2023"/>
    <x v="6"/>
    <x v="0"/>
    <n v="5"/>
  </r>
  <r>
    <x v="53"/>
    <s v="C0008"/>
    <x v="43"/>
    <x v="2"/>
    <x v="18"/>
    <n v="69"/>
    <x v="14"/>
    <n v="2023"/>
    <x v="6"/>
    <x v="1"/>
    <n v="5"/>
  </r>
  <r>
    <x v="54"/>
    <s v="C0013"/>
    <x v="44"/>
    <x v="0"/>
    <x v="19"/>
    <n v="136"/>
    <x v="19"/>
    <n v="2023"/>
    <x v="0"/>
    <x v="2"/>
    <n v="5"/>
  </r>
  <r>
    <x v="55"/>
    <s v="C0012"/>
    <x v="45"/>
    <x v="2"/>
    <x v="19"/>
    <n v="28"/>
    <x v="14"/>
    <n v="2023"/>
    <x v="0"/>
    <x v="0"/>
    <n v="5"/>
  </r>
  <r>
    <x v="56"/>
    <s v="C0008"/>
    <x v="20"/>
    <x v="1"/>
    <x v="20"/>
    <n v="135"/>
    <x v="16"/>
    <n v="2023"/>
    <x v="1"/>
    <x v="2"/>
    <n v="3"/>
  </r>
  <r>
    <x v="57"/>
    <s v="C0015"/>
    <x v="46"/>
    <x v="1"/>
    <x v="20"/>
    <n v="126"/>
    <x v="24"/>
    <n v="2023"/>
    <x v="1"/>
    <x v="0"/>
    <n v="2"/>
  </r>
  <r>
    <x v="58"/>
    <s v="C0011"/>
    <x v="47"/>
    <x v="0"/>
    <x v="20"/>
    <n v="160"/>
    <x v="12"/>
    <n v="2023"/>
    <x v="1"/>
    <x v="0"/>
    <n v="4"/>
  </r>
  <r>
    <x v="59"/>
    <s v="C0008"/>
    <x v="48"/>
    <x v="1"/>
    <x v="21"/>
    <n v="48"/>
    <x v="19"/>
    <n v="2023"/>
    <x v="2"/>
    <x v="0"/>
    <n v="5"/>
  </r>
  <r>
    <x v="60"/>
    <s v="C0013"/>
    <x v="33"/>
    <x v="2"/>
    <x v="21"/>
    <n v="66"/>
    <x v="9"/>
    <n v="2023"/>
    <x v="2"/>
    <x v="0"/>
    <n v="4"/>
  </r>
  <r>
    <x v="61"/>
    <s v="C0010"/>
    <x v="49"/>
    <x v="3"/>
    <x v="21"/>
    <n v="126"/>
    <x v="25"/>
    <n v="2023"/>
    <x v="2"/>
    <x v="1"/>
    <n v="3"/>
  </r>
  <r>
    <x v="62"/>
    <s v="C0015"/>
    <x v="50"/>
    <x v="4"/>
    <x v="21"/>
    <n v="96"/>
    <x v="13"/>
    <n v="2023"/>
    <x v="2"/>
    <x v="0"/>
    <n v="5"/>
  </r>
  <r>
    <x v="63"/>
    <s v="C0013"/>
    <x v="51"/>
    <x v="0"/>
    <x v="22"/>
    <n v="90"/>
    <x v="11"/>
    <n v="2023"/>
    <x v="3"/>
    <x v="0"/>
    <n v="4"/>
  </r>
  <r>
    <x v="64"/>
    <s v="C0001"/>
    <x v="52"/>
    <x v="3"/>
    <x v="22"/>
    <n v="105"/>
    <x v="5"/>
    <n v="2023"/>
    <x v="3"/>
    <x v="1"/>
    <n v="4"/>
  </r>
  <r>
    <x v="65"/>
    <s v="C0004"/>
    <x v="53"/>
    <x v="1"/>
    <x v="23"/>
    <n v="40"/>
    <x v="11"/>
    <n v="2023"/>
    <x v="4"/>
    <x v="0"/>
    <n v="4"/>
  </r>
  <r>
    <x v="66"/>
    <s v="C0015"/>
    <x v="54"/>
    <x v="0"/>
    <x v="23"/>
    <n v="60"/>
    <x v="26"/>
    <n v="2023"/>
    <x v="4"/>
    <x v="2"/>
    <n v="2"/>
  </r>
  <r>
    <x v="67"/>
    <s v="C0010"/>
    <x v="55"/>
    <x v="3"/>
    <x v="24"/>
    <n v="215"/>
    <x v="17"/>
    <n v="2023"/>
    <x v="5"/>
    <x v="1"/>
    <n v="4"/>
  </r>
  <r>
    <x v="68"/>
    <s v="C0005"/>
    <x v="22"/>
    <x v="2"/>
    <x v="24"/>
    <n v="156"/>
    <x v="27"/>
    <n v="2023"/>
    <x v="5"/>
    <x v="0"/>
    <n v="3"/>
  </r>
  <r>
    <x v="69"/>
    <s v="C0006"/>
    <x v="56"/>
    <x v="4"/>
    <x v="24"/>
    <n v="54"/>
    <x v="28"/>
    <n v="2023"/>
    <x v="5"/>
    <x v="1"/>
    <n v="0"/>
  </r>
  <r>
    <x v="70"/>
    <s v="C0006"/>
    <x v="57"/>
    <x v="4"/>
    <x v="25"/>
    <n v="160"/>
    <x v="10"/>
    <n v="2023"/>
    <x v="6"/>
    <x v="1"/>
    <n v="4"/>
  </r>
  <r>
    <x v="71"/>
    <s v="C0001"/>
    <x v="58"/>
    <x v="2"/>
    <x v="25"/>
    <n v="80"/>
    <x v="4"/>
    <n v="2023"/>
    <x v="6"/>
    <x v="0"/>
    <n v="5"/>
  </r>
  <r>
    <x v="72"/>
    <s v="C0013"/>
    <x v="19"/>
    <x v="2"/>
    <x v="25"/>
    <n v="168"/>
    <x v="27"/>
    <n v="2023"/>
    <x v="6"/>
    <x v="0"/>
    <n v="3"/>
  </r>
  <r>
    <x v="73"/>
    <s v="C0008"/>
    <x v="59"/>
    <x v="4"/>
    <x v="26"/>
    <n v="42"/>
    <x v="27"/>
    <n v="2023"/>
    <x v="1"/>
    <x v="0"/>
    <n v="3"/>
  </r>
  <r>
    <x v="74"/>
    <s v="C0005"/>
    <x v="60"/>
    <x v="2"/>
    <x v="26"/>
    <n v="205"/>
    <x v="6"/>
    <n v="2023"/>
    <x v="1"/>
    <x v="2"/>
    <n v="4"/>
  </r>
  <r>
    <x v="75"/>
    <s v="C0011"/>
    <x v="53"/>
    <x v="4"/>
    <x v="26"/>
    <n v="108"/>
    <x v="16"/>
    <n v="2023"/>
    <x v="1"/>
    <x v="0"/>
    <n v="3"/>
  </r>
  <r>
    <x v="76"/>
    <s v="C0010"/>
    <x v="61"/>
    <x v="1"/>
    <x v="26"/>
    <n v="78"/>
    <x v="29"/>
    <n v="2023"/>
    <x v="1"/>
    <x v="1"/>
    <n v="2"/>
  </r>
  <r>
    <x v="77"/>
    <s v="C0004"/>
    <x v="62"/>
    <x v="4"/>
    <x v="26"/>
    <n v="23"/>
    <x v="0"/>
    <n v="2023"/>
    <x v="1"/>
    <x v="2"/>
    <n v="5"/>
  </r>
  <r>
    <x v="78"/>
    <s v="C0011"/>
    <x v="63"/>
    <x v="0"/>
    <x v="27"/>
    <n v="99"/>
    <x v="6"/>
    <n v="2023"/>
    <x v="2"/>
    <x v="0"/>
    <n v="4"/>
  </r>
  <r>
    <x v="79"/>
    <s v="C0009"/>
    <x v="42"/>
    <x v="4"/>
    <x v="28"/>
    <n v="148"/>
    <x v="14"/>
    <n v="2023"/>
    <x v="3"/>
    <x v="0"/>
    <n v="5"/>
  </r>
  <r>
    <x v="80"/>
    <s v="C0010"/>
    <x v="64"/>
    <x v="3"/>
    <x v="28"/>
    <n v="34"/>
    <x v="20"/>
    <n v="2023"/>
    <x v="3"/>
    <x v="2"/>
    <n v="4"/>
  </r>
  <r>
    <x v="81"/>
    <s v="C0011"/>
    <x v="65"/>
    <x v="4"/>
    <x v="28"/>
    <n v="86"/>
    <x v="4"/>
    <n v="2023"/>
    <x v="3"/>
    <x v="1"/>
    <n v="5"/>
  </r>
  <r>
    <x v="82"/>
    <s v="C0008"/>
    <x v="66"/>
    <x v="0"/>
    <x v="28"/>
    <n v="105"/>
    <x v="16"/>
    <n v="2023"/>
    <x v="3"/>
    <x v="0"/>
    <n v="3"/>
  </r>
  <r>
    <x v="83"/>
    <s v="C0004"/>
    <x v="67"/>
    <x v="0"/>
    <x v="28"/>
    <n v="62"/>
    <x v="22"/>
    <n v="2023"/>
    <x v="3"/>
    <x v="0"/>
    <n v="3"/>
  </r>
  <r>
    <x v="84"/>
    <s v="C0011"/>
    <x v="65"/>
    <x v="3"/>
    <x v="28"/>
    <n v="90"/>
    <x v="17"/>
    <n v="2023"/>
    <x v="3"/>
    <x v="1"/>
    <n v="4"/>
  </r>
  <r>
    <x v="85"/>
    <s v="C0014"/>
    <x v="15"/>
    <x v="0"/>
    <x v="29"/>
    <n v="112"/>
    <x v="0"/>
    <n v="2023"/>
    <x v="4"/>
    <x v="0"/>
    <n v="5"/>
  </r>
  <r>
    <x v="86"/>
    <s v="C0015"/>
    <x v="41"/>
    <x v="0"/>
    <x v="29"/>
    <n v="135"/>
    <x v="9"/>
    <n v="2023"/>
    <x v="4"/>
    <x v="0"/>
    <n v="4"/>
  </r>
  <r>
    <x v="87"/>
    <s v="C0004"/>
    <x v="68"/>
    <x v="1"/>
    <x v="29"/>
    <n v="34"/>
    <x v="15"/>
    <n v="2023"/>
    <x v="4"/>
    <x v="2"/>
    <n v="2"/>
  </r>
  <r>
    <x v="88"/>
    <s v="C0008"/>
    <x v="69"/>
    <x v="2"/>
    <x v="29"/>
    <n v="155"/>
    <x v="14"/>
    <n v="2023"/>
    <x v="4"/>
    <x v="0"/>
    <n v="5"/>
  </r>
  <r>
    <x v="89"/>
    <s v="C0014"/>
    <x v="70"/>
    <x v="2"/>
    <x v="30"/>
    <n v="124"/>
    <x v="0"/>
    <n v="2023"/>
    <x v="6"/>
    <x v="1"/>
    <n v="5"/>
  </r>
  <r>
    <x v="90"/>
    <s v="C0015"/>
    <x v="5"/>
    <x v="0"/>
    <x v="30"/>
    <n v="195"/>
    <x v="17"/>
    <n v="2023"/>
    <x v="6"/>
    <x v="0"/>
    <n v="4"/>
  </r>
  <r>
    <x v="91"/>
    <s v="C0001"/>
    <x v="71"/>
    <x v="2"/>
    <x v="31"/>
    <n v="78"/>
    <x v="14"/>
    <n v="2023"/>
    <x v="0"/>
    <x v="2"/>
    <n v="5"/>
  </r>
  <r>
    <x v="92"/>
    <s v="C0007"/>
    <x v="10"/>
    <x v="3"/>
    <x v="32"/>
    <n v="35"/>
    <x v="4"/>
    <n v="2023"/>
    <x v="2"/>
    <x v="1"/>
    <n v="5"/>
  </r>
  <r>
    <x v="93"/>
    <s v="C0012"/>
    <x v="72"/>
    <x v="1"/>
    <x v="32"/>
    <n v="123"/>
    <x v="19"/>
    <n v="2023"/>
    <x v="2"/>
    <x v="1"/>
    <n v="5"/>
  </r>
  <r>
    <x v="94"/>
    <s v="C0005"/>
    <x v="35"/>
    <x v="1"/>
    <x v="32"/>
    <n v="43"/>
    <x v="19"/>
    <n v="2023"/>
    <x v="2"/>
    <x v="1"/>
    <n v="5"/>
  </r>
  <r>
    <x v="95"/>
    <s v="C0006"/>
    <x v="73"/>
    <x v="0"/>
    <x v="33"/>
    <n v="69"/>
    <x v="12"/>
    <n v="2023"/>
    <x v="3"/>
    <x v="2"/>
    <n v="4"/>
  </r>
  <r>
    <x v="96"/>
    <s v="C0012"/>
    <x v="48"/>
    <x v="1"/>
    <x v="33"/>
    <n v="130"/>
    <x v="13"/>
    <n v="2023"/>
    <x v="3"/>
    <x v="0"/>
    <n v="5"/>
  </r>
  <r>
    <x v="97"/>
    <s v="C0003"/>
    <x v="74"/>
    <x v="4"/>
    <x v="33"/>
    <n v="120"/>
    <x v="9"/>
    <n v="2023"/>
    <x v="3"/>
    <x v="0"/>
    <n v="4"/>
  </r>
  <r>
    <x v="98"/>
    <s v="C0001"/>
    <x v="64"/>
    <x v="0"/>
    <x v="34"/>
    <n v="84"/>
    <x v="19"/>
    <n v="2023"/>
    <x v="4"/>
    <x v="2"/>
    <n v="5"/>
  </r>
  <r>
    <x v="99"/>
    <s v="C0003"/>
    <x v="35"/>
    <x v="4"/>
    <x v="35"/>
    <n v="112"/>
    <x v="14"/>
    <n v="2023"/>
    <x v="5"/>
    <x v="1"/>
    <n v="5"/>
  </r>
  <r>
    <x v="100"/>
    <s v="C0013"/>
    <x v="48"/>
    <x v="0"/>
    <x v="35"/>
    <n v="66"/>
    <x v="19"/>
    <n v="2023"/>
    <x v="5"/>
    <x v="0"/>
    <n v="5"/>
  </r>
  <r>
    <x v="101"/>
    <s v="C0012"/>
    <x v="37"/>
    <x v="2"/>
    <x v="35"/>
    <n v="172"/>
    <x v="27"/>
    <n v="2023"/>
    <x v="5"/>
    <x v="1"/>
    <n v="3"/>
  </r>
  <r>
    <x v="102"/>
    <s v="C0009"/>
    <x v="19"/>
    <x v="3"/>
    <x v="36"/>
    <n v="24"/>
    <x v="12"/>
    <n v="2023"/>
    <x v="6"/>
    <x v="0"/>
    <n v="4"/>
  </r>
  <r>
    <x v="103"/>
    <s v="C0014"/>
    <x v="75"/>
    <x v="2"/>
    <x v="37"/>
    <n v="43"/>
    <x v="10"/>
    <n v="2023"/>
    <x v="0"/>
    <x v="0"/>
    <n v="4"/>
  </r>
  <r>
    <x v="104"/>
    <s v="C0005"/>
    <x v="67"/>
    <x v="1"/>
    <x v="37"/>
    <n v="23"/>
    <x v="13"/>
    <n v="2023"/>
    <x v="0"/>
    <x v="0"/>
    <n v="5"/>
  </r>
  <r>
    <x v="105"/>
    <s v="C0002"/>
    <x v="16"/>
    <x v="4"/>
    <x v="37"/>
    <n v="74"/>
    <x v="8"/>
    <n v="2023"/>
    <x v="0"/>
    <x v="3"/>
    <n v="4"/>
  </r>
  <r>
    <x v="106"/>
    <s v="C0004"/>
    <x v="76"/>
    <x v="3"/>
    <x v="38"/>
    <n v="165"/>
    <x v="2"/>
    <n v="2023"/>
    <x v="1"/>
    <x v="1"/>
    <n v="5"/>
  </r>
  <r>
    <x v="107"/>
    <s v="C0015"/>
    <x v="65"/>
    <x v="2"/>
    <x v="38"/>
    <n v="34"/>
    <x v="1"/>
    <n v="2023"/>
    <x v="1"/>
    <x v="1"/>
    <n v="3"/>
  </r>
  <r>
    <x v="108"/>
    <s v="C0004"/>
    <x v="77"/>
    <x v="4"/>
    <x v="38"/>
    <n v="64"/>
    <x v="7"/>
    <n v="2023"/>
    <x v="1"/>
    <x v="0"/>
    <n v="3"/>
  </r>
  <r>
    <x v="109"/>
    <s v="C0005"/>
    <x v="24"/>
    <x v="3"/>
    <x v="39"/>
    <n v="155"/>
    <x v="23"/>
    <n v="2023"/>
    <x v="2"/>
    <x v="0"/>
    <n v="3"/>
  </r>
  <r>
    <x v="110"/>
    <s v="C0004"/>
    <x v="48"/>
    <x v="1"/>
    <x v="40"/>
    <n v="120"/>
    <x v="4"/>
    <n v="2023"/>
    <x v="3"/>
    <x v="0"/>
    <n v="5"/>
  </r>
  <r>
    <x v="111"/>
    <s v="C0006"/>
    <x v="78"/>
    <x v="4"/>
    <x v="40"/>
    <n v="105"/>
    <x v="6"/>
    <n v="2023"/>
    <x v="3"/>
    <x v="3"/>
    <n v="4"/>
  </r>
  <r>
    <x v="112"/>
    <s v="C0011"/>
    <x v="79"/>
    <x v="2"/>
    <x v="40"/>
    <n v="28"/>
    <x v="0"/>
    <n v="2023"/>
    <x v="3"/>
    <x v="3"/>
    <n v="5"/>
  </r>
  <r>
    <x v="113"/>
    <s v="C0010"/>
    <x v="18"/>
    <x v="3"/>
    <x v="40"/>
    <n v="100"/>
    <x v="4"/>
    <n v="2023"/>
    <x v="3"/>
    <x v="2"/>
    <n v="5"/>
  </r>
  <r>
    <x v="114"/>
    <s v="C0013"/>
    <x v="71"/>
    <x v="2"/>
    <x v="40"/>
    <n v="23"/>
    <x v="6"/>
    <n v="2023"/>
    <x v="3"/>
    <x v="2"/>
    <n v="4"/>
  </r>
  <r>
    <x v="115"/>
    <s v="C0009"/>
    <x v="80"/>
    <x v="4"/>
    <x v="41"/>
    <n v="70"/>
    <x v="10"/>
    <n v="2023"/>
    <x v="4"/>
    <x v="3"/>
    <n v="4"/>
  </r>
  <r>
    <x v="116"/>
    <s v="C0009"/>
    <x v="81"/>
    <x v="4"/>
    <x v="41"/>
    <n v="37"/>
    <x v="29"/>
    <n v="2023"/>
    <x v="4"/>
    <x v="2"/>
    <n v="2"/>
  </r>
  <r>
    <x v="117"/>
    <s v="C0002"/>
    <x v="0"/>
    <x v="0"/>
    <x v="41"/>
    <n v="140"/>
    <x v="6"/>
    <n v="2023"/>
    <x v="4"/>
    <x v="0"/>
    <n v="4"/>
  </r>
  <r>
    <x v="118"/>
    <s v="C0003"/>
    <x v="15"/>
    <x v="1"/>
    <x v="41"/>
    <n v="78"/>
    <x v="17"/>
    <n v="2023"/>
    <x v="4"/>
    <x v="0"/>
    <n v="4"/>
  </r>
  <r>
    <x v="119"/>
    <s v="C0004"/>
    <x v="29"/>
    <x v="4"/>
    <x v="42"/>
    <n v="21"/>
    <x v="18"/>
    <n v="2023"/>
    <x v="5"/>
    <x v="0"/>
    <n v="4"/>
  </r>
  <r>
    <x v="120"/>
    <s v="C0005"/>
    <x v="82"/>
    <x v="0"/>
    <x v="42"/>
    <n v="88"/>
    <x v="12"/>
    <n v="2023"/>
    <x v="5"/>
    <x v="2"/>
    <n v="4"/>
  </r>
  <r>
    <x v="121"/>
    <s v="C0007"/>
    <x v="23"/>
    <x v="0"/>
    <x v="43"/>
    <n v="180"/>
    <x v="30"/>
    <n v="2023"/>
    <x v="6"/>
    <x v="1"/>
    <n v="2"/>
  </r>
  <r>
    <x v="122"/>
    <s v="C0003"/>
    <x v="2"/>
    <x v="1"/>
    <x v="43"/>
    <n v="22"/>
    <x v="16"/>
    <n v="2023"/>
    <x v="6"/>
    <x v="0"/>
    <n v="3"/>
  </r>
  <r>
    <x v="123"/>
    <s v="C0010"/>
    <x v="48"/>
    <x v="1"/>
    <x v="43"/>
    <n v="52"/>
    <x v="4"/>
    <n v="2023"/>
    <x v="6"/>
    <x v="0"/>
    <n v="5"/>
  </r>
  <r>
    <x v="124"/>
    <s v="C0015"/>
    <x v="83"/>
    <x v="0"/>
    <x v="44"/>
    <n v="80"/>
    <x v="9"/>
    <n v="2023"/>
    <x v="0"/>
    <x v="0"/>
    <n v="4"/>
  </r>
  <r>
    <x v="125"/>
    <s v="C0011"/>
    <x v="59"/>
    <x v="2"/>
    <x v="44"/>
    <n v="54"/>
    <x v="31"/>
    <n v="2023"/>
    <x v="0"/>
    <x v="0"/>
    <n v="1"/>
  </r>
  <r>
    <x v="126"/>
    <s v="C0004"/>
    <x v="23"/>
    <x v="2"/>
    <x v="45"/>
    <n v="80"/>
    <x v="10"/>
    <n v="2023"/>
    <x v="1"/>
    <x v="1"/>
    <n v="4"/>
  </r>
  <r>
    <x v="127"/>
    <s v="C0015"/>
    <x v="59"/>
    <x v="0"/>
    <x v="46"/>
    <n v="120"/>
    <x v="32"/>
    <n v="2023"/>
    <x v="2"/>
    <x v="0"/>
    <n v="2"/>
  </r>
  <r>
    <x v="128"/>
    <s v="C0007"/>
    <x v="49"/>
    <x v="3"/>
    <x v="46"/>
    <n v="150"/>
    <x v="33"/>
    <n v="2023"/>
    <x v="2"/>
    <x v="1"/>
    <n v="1"/>
  </r>
  <r>
    <x v="129"/>
    <s v="C0004"/>
    <x v="34"/>
    <x v="0"/>
    <x v="46"/>
    <n v="90"/>
    <x v="12"/>
    <n v="2023"/>
    <x v="2"/>
    <x v="0"/>
    <n v="4"/>
  </r>
  <r>
    <x v="130"/>
    <s v="C0001"/>
    <x v="84"/>
    <x v="4"/>
    <x v="47"/>
    <n v="140"/>
    <x v="7"/>
    <n v="2023"/>
    <x v="3"/>
    <x v="0"/>
    <n v="3"/>
  </r>
  <r>
    <x v="131"/>
    <s v="C0010"/>
    <x v="85"/>
    <x v="2"/>
    <x v="47"/>
    <n v="22"/>
    <x v="7"/>
    <n v="2023"/>
    <x v="3"/>
    <x v="1"/>
    <n v="3"/>
  </r>
  <r>
    <x v="132"/>
    <s v="C0015"/>
    <x v="86"/>
    <x v="3"/>
    <x v="48"/>
    <n v="150"/>
    <x v="17"/>
    <n v="2023"/>
    <x v="4"/>
    <x v="0"/>
    <n v="4"/>
  </r>
  <r>
    <x v="133"/>
    <s v="C0008"/>
    <x v="87"/>
    <x v="1"/>
    <x v="49"/>
    <n v="35"/>
    <x v="4"/>
    <n v="2023"/>
    <x v="5"/>
    <x v="1"/>
    <n v="5"/>
  </r>
  <r>
    <x v="134"/>
    <s v="C0014"/>
    <x v="88"/>
    <x v="0"/>
    <x v="49"/>
    <n v="200"/>
    <x v="26"/>
    <n v="2023"/>
    <x v="5"/>
    <x v="1"/>
    <n v="2"/>
  </r>
  <r>
    <x v="135"/>
    <s v="C0015"/>
    <x v="84"/>
    <x v="4"/>
    <x v="50"/>
    <n v="150"/>
    <x v="19"/>
    <n v="2023"/>
    <x v="6"/>
    <x v="0"/>
    <n v="5"/>
  </r>
  <r>
    <x v="136"/>
    <s v="C0009"/>
    <x v="63"/>
    <x v="0"/>
    <x v="50"/>
    <n v="21"/>
    <x v="27"/>
    <n v="2023"/>
    <x v="6"/>
    <x v="0"/>
    <n v="3"/>
  </r>
  <r>
    <x v="137"/>
    <s v="C0001"/>
    <x v="89"/>
    <x v="3"/>
    <x v="51"/>
    <n v="46"/>
    <x v="0"/>
    <n v="2023"/>
    <x v="0"/>
    <x v="1"/>
    <n v="5"/>
  </r>
  <r>
    <x v="138"/>
    <s v="C0012"/>
    <x v="9"/>
    <x v="2"/>
    <x v="51"/>
    <n v="165"/>
    <x v="34"/>
    <n v="2023"/>
    <x v="0"/>
    <x v="0"/>
    <n v="3"/>
  </r>
  <r>
    <x v="139"/>
    <s v="C0006"/>
    <x v="90"/>
    <x v="0"/>
    <x v="51"/>
    <n v="84"/>
    <x v="17"/>
    <n v="2023"/>
    <x v="0"/>
    <x v="0"/>
    <n v="4"/>
  </r>
  <r>
    <x v="140"/>
    <s v="C0004"/>
    <x v="91"/>
    <x v="2"/>
    <x v="52"/>
    <n v="102"/>
    <x v="5"/>
    <n v="2023"/>
    <x v="1"/>
    <x v="4"/>
    <n v="4"/>
  </r>
  <r>
    <x v="141"/>
    <s v="C0006"/>
    <x v="92"/>
    <x v="0"/>
    <x v="52"/>
    <n v="180"/>
    <x v="4"/>
    <n v="2023"/>
    <x v="1"/>
    <x v="1"/>
    <n v="5"/>
  </r>
  <r>
    <x v="142"/>
    <s v="C0009"/>
    <x v="60"/>
    <x v="3"/>
    <x v="53"/>
    <n v="111"/>
    <x v="35"/>
    <n v="2023"/>
    <x v="2"/>
    <x v="2"/>
    <n v="3"/>
  </r>
  <r>
    <x v="143"/>
    <s v="C0009"/>
    <x v="51"/>
    <x v="4"/>
    <x v="53"/>
    <n v="104"/>
    <x v="22"/>
    <n v="2023"/>
    <x v="2"/>
    <x v="0"/>
    <n v="3"/>
  </r>
  <r>
    <x v="144"/>
    <s v="C0005"/>
    <x v="93"/>
    <x v="2"/>
    <x v="53"/>
    <n v="80"/>
    <x v="27"/>
    <n v="2023"/>
    <x v="2"/>
    <x v="2"/>
    <n v="3"/>
  </r>
  <r>
    <x v="145"/>
    <s v="C0011"/>
    <x v="23"/>
    <x v="4"/>
    <x v="54"/>
    <n v="132"/>
    <x v="19"/>
    <n v="2023"/>
    <x v="3"/>
    <x v="1"/>
    <n v="5"/>
  </r>
  <r>
    <x v="146"/>
    <s v="C0011"/>
    <x v="31"/>
    <x v="3"/>
    <x v="54"/>
    <n v="170"/>
    <x v="20"/>
    <n v="2023"/>
    <x v="3"/>
    <x v="0"/>
    <n v="4"/>
  </r>
  <r>
    <x v="147"/>
    <s v="C0006"/>
    <x v="94"/>
    <x v="1"/>
    <x v="54"/>
    <n v="36"/>
    <x v="11"/>
    <n v="2023"/>
    <x v="3"/>
    <x v="1"/>
    <n v="4"/>
  </r>
  <r>
    <x v="148"/>
    <s v="C0002"/>
    <x v="34"/>
    <x v="4"/>
    <x v="54"/>
    <n v="126"/>
    <x v="6"/>
    <n v="2023"/>
    <x v="3"/>
    <x v="0"/>
    <n v="4"/>
  </r>
  <r>
    <x v="149"/>
    <s v="C0015"/>
    <x v="72"/>
    <x v="2"/>
    <x v="54"/>
    <n v="215"/>
    <x v="5"/>
    <n v="2023"/>
    <x v="3"/>
    <x v="1"/>
    <n v="4"/>
  </r>
  <r>
    <x v="150"/>
    <s v="C0002"/>
    <x v="65"/>
    <x v="3"/>
    <x v="54"/>
    <n v="114"/>
    <x v="23"/>
    <n v="2023"/>
    <x v="3"/>
    <x v="1"/>
    <n v="3"/>
  </r>
  <r>
    <x v="151"/>
    <s v="C0002"/>
    <x v="62"/>
    <x v="3"/>
    <x v="54"/>
    <n v="99"/>
    <x v="2"/>
    <n v="2023"/>
    <x v="3"/>
    <x v="2"/>
    <n v="5"/>
  </r>
  <r>
    <x v="152"/>
    <s v="C0010"/>
    <x v="59"/>
    <x v="3"/>
    <x v="55"/>
    <n v="23"/>
    <x v="4"/>
    <n v="2023"/>
    <x v="4"/>
    <x v="0"/>
    <n v="5"/>
  </r>
  <r>
    <x v="153"/>
    <s v="C0014"/>
    <x v="6"/>
    <x v="4"/>
    <x v="55"/>
    <n v="75"/>
    <x v="34"/>
    <n v="2023"/>
    <x v="4"/>
    <x v="0"/>
    <n v="3"/>
  </r>
  <r>
    <x v="154"/>
    <s v="C0002"/>
    <x v="11"/>
    <x v="2"/>
    <x v="55"/>
    <n v="100"/>
    <x v="11"/>
    <n v="2023"/>
    <x v="4"/>
    <x v="0"/>
    <n v="4"/>
  </r>
  <r>
    <x v="155"/>
    <s v="C0006"/>
    <x v="32"/>
    <x v="1"/>
    <x v="55"/>
    <n v="108"/>
    <x v="12"/>
    <n v="2023"/>
    <x v="4"/>
    <x v="0"/>
    <n v="4"/>
  </r>
  <r>
    <x v="156"/>
    <s v="C0004"/>
    <x v="74"/>
    <x v="1"/>
    <x v="55"/>
    <n v="108"/>
    <x v="13"/>
    <n v="2023"/>
    <x v="4"/>
    <x v="0"/>
    <n v="5"/>
  </r>
  <r>
    <x v="157"/>
    <s v="C0014"/>
    <x v="95"/>
    <x v="1"/>
    <x v="55"/>
    <n v="28"/>
    <x v="4"/>
    <n v="2023"/>
    <x v="4"/>
    <x v="0"/>
    <n v="5"/>
  </r>
  <r>
    <x v="158"/>
    <s v="C0009"/>
    <x v="96"/>
    <x v="0"/>
    <x v="56"/>
    <n v="70"/>
    <x v="0"/>
    <n v="2023"/>
    <x v="5"/>
    <x v="0"/>
    <n v="5"/>
  </r>
  <r>
    <x v="159"/>
    <s v="C0005"/>
    <x v="90"/>
    <x v="0"/>
    <x v="56"/>
    <n v="172"/>
    <x v="17"/>
    <n v="2023"/>
    <x v="5"/>
    <x v="0"/>
    <n v="4"/>
  </r>
  <r>
    <x v="160"/>
    <s v="C0004"/>
    <x v="97"/>
    <x v="2"/>
    <x v="56"/>
    <n v="123"/>
    <x v="5"/>
    <n v="2023"/>
    <x v="5"/>
    <x v="0"/>
    <n v="4"/>
  </r>
  <r>
    <x v="161"/>
    <s v="C0004"/>
    <x v="98"/>
    <x v="1"/>
    <x v="56"/>
    <n v="93"/>
    <x v="7"/>
    <n v="2023"/>
    <x v="5"/>
    <x v="3"/>
    <n v="3"/>
  </r>
  <r>
    <x v="162"/>
    <s v="C0012"/>
    <x v="99"/>
    <x v="0"/>
    <x v="56"/>
    <n v="66"/>
    <x v="9"/>
    <n v="2023"/>
    <x v="5"/>
    <x v="0"/>
    <n v="4"/>
  </r>
  <r>
    <x v="163"/>
    <s v="C0012"/>
    <x v="37"/>
    <x v="1"/>
    <x v="56"/>
    <n v="39"/>
    <x v="21"/>
    <n v="2023"/>
    <x v="5"/>
    <x v="1"/>
    <n v="2"/>
  </r>
  <r>
    <x v="164"/>
    <s v="C0003"/>
    <x v="100"/>
    <x v="4"/>
    <x v="56"/>
    <n v="25"/>
    <x v="15"/>
    <n v="2023"/>
    <x v="5"/>
    <x v="3"/>
    <n v="2"/>
  </r>
  <r>
    <x v="165"/>
    <s v="C0001"/>
    <x v="96"/>
    <x v="2"/>
    <x v="56"/>
    <n v="68"/>
    <x v="35"/>
    <n v="2023"/>
    <x v="5"/>
    <x v="0"/>
    <n v="3"/>
  </r>
  <r>
    <x v="166"/>
    <s v="C0005"/>
    <x v="16"/>
    <x v="4"/>
    <x v="56"/>
    <n v="84"/>
    <x v="23"/>
    <n v="2023"/>
    <x v="5"/>
    <x v="3"/>
    <n v="3"/>
  </r>
  <r>
    <x v="167"/>
    <s v="C0011"/>
    <x v="12"/>
    <x v="1"/>
    <x v="57"/>
    <n v="88"/>
    <x v="7"/>
    <n v="2023"/>
    <x v="6"/>
    <x v="1"/>
    <n v="3"/>
  </r>
  <r>
    <x v="168"/>
    <s v="C0006"/>
    <x v="25"/>
    <x v="2"/>
    <x v="57"/>
    <n v="93"/>
    <x v="34"/>
    <n v="2023"/>
    <x v="6"/>
    <x v="0"/>
    <n v="3"/>
  </r>
  <r>
    <x v="169"/>
    <s v="C0004"/>
    <x v="58"/>
    <x v="4"/>
    <x v="57"/>
    <n v="128"/>
    <x v="13"/>
    <n v="2023"/>
    <x v="6"/>
    <x v="0"/>
    <n v="5"/>
  </r>
  <r>
    <x v="170"/>
    <s v="C0005"/>
    <x v="29"/>
    <x v="3"/>
    <x v="57"/>
    <n v="40"/>
    <x v="7"/>
    <n v="2023"/>
    <x v="6"/>
    <x v="0"/>
    <n v="3"/>
  </r>
  <r>
    <x v="171"/>
    <s v="C0010"/>
    <x v="101"/>
    <x v="4"/>
    <x v="58"/>
    <n v="92"/>
    <x v="2"/>
    <n v="2023"/>
    <x v="0"/>
    <x v="2"/>
    <n v="5"/>
  </r>
  <r>
    <x v="172"/>
    <s v="C0002"/>
    <x v="96"/>
    <x v="1"/>
    <x v="58"/>
    <n v="27"/>
    <x v="14"/>
    <n v="2023"/>
    <x v="0"/>
    <x v="0"/>
    <n v="5"/>
  </r>
  <r>
    <x v="173"/>
    <s v="C0007"/>
    <x v="37"/>
    <x v="0"/>
    <x v="58"/>
    <n v="140"/>
    <x v="17"/>
    <n v="2023"/>
    <x v="0"/>
    <x v="1"/>
    <n v="4"/>
  </r>
  <r>
    <x v="174"/>
    <s v="C0012"/>
    <x v="19"/>
    <x v="2"/>
    <x v="58"/>
    <n v="40"/>
    <x v="13"/>
    <n v="2023"/>
    <x v="0"/>
    <x v="0"/>
    <n v="5"/>
  </r>
  <r>
    <x v="175"/>
    <s v="C0008"/>
    <x v="51"/>
    <x v="4"/>
    <x v="58"/>
    <n v="102"/>
    <x v="2"/>
    <n v="2023"/>
    <x v="0"/>
    <x v="0"/>
    <n v="5"/>
  </r>
  <r>
    <x v="176"/>
    <s v="C0007"/>
    <x v="97"/>
    <x v="0"/>
    <x v="58"/>
    <n v="42"/>
    <x v="18"/>
    <n v="2023"/>
    <x v="0"/>
    <x v="0"/>
    <n v="4"/>
  </r>
  <r>
    <x v="177"/>
    <s v="C0006"/>
    <x v="93"/>
    <x v="1"/>
    <x v="59"/>
    <n v="210"/>
    <x v="10"/>
    <n v="2023"/>
    <x v="1"/>
    <x v="2"/>
    <n v="4"/>
  </r>
  <r>
    <x v="178"/>
    <s v="C0007"/>
    <x v="88"/>
    <x v="2"/>
    <x v="59"/>
    <n v="34"/>
    <x v="35"/>
    <n v="2023"/>
    <x v="1"/>
    <x v="1"/>
    <n v="3"/>
  </r>
  <r>
    <x v="179"/>
    <s v="C0012"/>
    <x v="21"/>
    <x v="3"/>
    <x v="59"/>
    <n v="215"/>
    <x v="6"/>
    <n v="2023"/>
    <x v="1"/>
    <x v="0"/>
    <n v="4"/>
  </r>
  <r>
    <x v="180"/>
    <s v="C0009"/>
    <x v="63"/>
    <x v="3"/>
    <x v="59"/>
    <n v="32"/>
    <x v="36"/>
    <n v="2023"/>
    <x v="1"/>
    <x v="0"/>
    <n v="1"/>
  </r>
  <r>
    <x v="181"/>
    <s v="C0011"/>
    <x v="86"/>
    <x v="1"/>
    <x v="60"/>
    <n v="48"/>
    <x v="2"/>
    <n v="2023"/>
    <x v="2"/>
    <x v="0"/>
    <n v="5"/>
  </r>
  <r>
    <x v="182"/>
    <s v="C0007"/>
    <x v="53"/>
    <x v="1"/>
    <x v="60"/>
    <n v="132"/>
    <x v="14"/>
    <n v="2023"/>
    <x v="2"/>
    <x v="0"/>
    <n v="5"/>
  </r>
  <r>
    <x v="183"/>
    <s v="C0002"/>
    <x v="6"/>
    <x v="0"/>
    <x v="60"/>
    <n v="172"/>
    <x v="12"/>
    <n v="2023"/>
    <x v="2"/>
    <x v="0"/>
    <n v="4"/>
  </r>
  <r>
    <x v="184"/>
    <s v="C0002"/>
    <x v="29"/>
    <x v="0"/>
    <x v="60"/>
    <n v="111"/>
    <x v="7"/>
    <n v="2023"/>
    <x v="2"/>
    <x v="0"/>
    <n v="3"/>
  </r>
  <r>
    <x v="185"/>
    <s v="C0013"/>
    <x v="102"/>
    <x v="0"/>
    <x v="60"/>
    <n v="58"/>
    <x v="6"/>
    <n v="2023"/>
    <x v="2"/>
    <x v="0"/>
    <n v="4"/>
  </r>
  <r>
    <x v="186"/>
    <s v="C0013"/>
    <x v="103"/>
    <x v="3"/>
    <x v="60"/>
    <n v="68"/>
    <x v="9"/>
    <n v="2023"/>
    <x v="2"/>
    <x v="2"/>
    <n v="4"/>
  </r>
  <r>
    <x v="187"/>
    <s v="C0002"/>
    <x v="104"/>
    <x v="2"/>
    <x v="60"/>
    <n v="160"/>
    <x v="14"/>
    <n v="2023"/>
    <x v="2"/>
    <x v="1"/>
    <n v="5"/>
  </r>
  <r>
    <x v="188"/>
    <s v="C0001"/>
    <x v="24"/>
    <x v="4"/>
    <x v="60"/>
    <n v="45"/>
    <x v="35"/>
    <n v="2023"/>
    <x v="2"/>
    <x v="0"/>
    <n v="3"/>
  </r>
  <r>
    <x v="189"/>
    <s v="C0008"/>
    <x v="6"/>
    <x v="1"/>
    <x v="61"/>
    <n v="117"/>
    <x v="35"/>
    <n v="2023"/>
    <x v="3"/>
    <x v="0"/>
    <n v="3"/>
  </r>
  <r>
    <x v="190"/>
    <s v="C0006"/>
    <x v="105"/>
    <x v="0"/>
    <x v="62"/>
    <n v="22"/>
    <x v="37"/>
    <n v="2023"/>
    <x v="4"/>
    <x v="3"/>
    <n v="2"/>
  </r>
  <r>
    <x v="191"/>
    <s v="C0008"/>
    <x v="29"/>
    <x v="4"/>
    <x v="62"/>
    <n v="195"/>
    <x v="35"/>
    <n v="2023"/>
    <x v="4"/>
    <x v="0"/>
    <n v="3"/>
  </r>
  <r>
    <x v="192"/>
    <s v="C0013"/>
    <x v="24"/>
    <x v="2"/>
    <x v="62"/>
    <n v="168"/>
    <x v="20"/>
    <n v="2023"/>
    <x v="4"/>
    <x v="0"/>
    <n v="4"/>
  </r>
  <r>
    <x v="193"/>
    <s v="C0007"/>
    <x v="106"/>
    <x v="3"/>
    <x v="63"/>
    <n v="46"/>
    <x v="0"/>
    <n v="2023"/>
    <x v="5"/>
    <x v="0"/>
    <n v="5"/>
  </r>
  <r>
    <x v="194"/>
    <s v="C0004"/>
    <x v="23"/>
    <x v="0"/>
    <x v="63"/>
    <n v="164"/>
    <x v="7"/>
    <n v="2023"/>
    <x v="5"/>
    <x v="1"/>
    <n v="3"/>
  </r>
  <r>
    <x v="195"/>
    <s v="C0007"/>
    <x v="47"/>
    <x v="3"/>
    <x v="63"/>
    <n v="48"/>
    <x v="13"/>
    <n v="2023"/>
    <x v="5"/>
    <x v="0"/>
    <n v="5"/>
  </r>
  <r>
    <x v="196"/>
    <s v="C0005"/>
    <x v="28"/>
    <x v="1"/>
    <x v="63"/>
    <n v="96"/>
    <x v="13"/>
    <n v="2023"/>
    <x v="5"/>
    <x v="0"/>
    <n v="5"/>
  </r>
  <r>
    <x v="197"/>
    <s v="C0007"/>
    <x v="51"/>
    <x v="3"/>
    <x v="63"/>
    <n v="105"/>
    <x v="9"/>
    <n v="2023"/>
    <x v="5"/>
    <x v="0"/>
    <n v="4"/>
  </r>
  <r>
    <x v="198"/>
    <s v="C0004"/>
    <x v="41"/>
    <x v="3"/>
    <x v="64"/>
    <n v="44"/>
    <x v="6"/>
    <n v="2023"/>
    <x v="6"/>
    <x v="0"/>
    <n v="4"/>
  </r>
  <r>
    <x v="199"/>
    <s v="C0003"/>
    <x v="107"/>
    <x v="2"/>
    <x v="64"/>
    <n v="132"/>
    <x v="20"/>
    <n v="2023"/>
    <x v="6"/>
    <x v="0"/>
    <n v="4"/>
  </r>
  <r>
    <x v="200"/>
    <s v="C0005"/>
    <x v="5"/>
    <x v="0"/>
    <x v="64"/>
    <n v="54"/>
    <x v="18"/>
    <n v="2023"/>
    <x v="6"/>
    <x v="0"/>
    <n v="4"/>
  </r>
  <r>
    <x v="201"/>
    <s v="C0001"/>
    <x v="108"/>
    <x v="4"/>
    <x v="64"/>
    <n v="129"/>
    <x v="15"/>
    <n v="2023"/>
    <x v="6"/>
    <x v="2"/>
    <n v="2"/>
  </r>
  <r>
    <x v="202"/>
    <s v="C0001"/>
    <x v="47"/>
    <x v="3"/>
    <x v="64"/>
    <n v="42"/>
    <x v="9"/>
    <n v="2023"/>
    <x v="6"/>
    <x v="0"/>
    <n v="4"/>
  </r>
  <r>
    <x v="203"/>
    <s v="C0009"/>
    <x v="45"/>
    <x v="3"/>
    <x v="64"/>
    <n v="42"/>
    <x v="18"/>
    <n v="2023"/>
    <x v="6"/>
    <x v="0"/>
    <n v="4"/>
  </r>
  <r>
    <x v="204"/>
    <s v="C0013"/>
    <x v="104"/>
    <x v="0"/>
    <x v="64"/>
    <n v="180"/>
    <x v="22"/>
    <n v="2023"/>
    <x v="6"/>
    <x v="1"/>
    <n v="3"/>
  </r>
  <r>
    <x v="205"/>
    <s v="C0011"/>
    <x v="21"/>
    <x v="3"/>
    <x v="65"/>
    <n v="34"/>
    <x v="4"/>
    <n v="2023"/>
    <x v="0"/>
    <x v="0"/>
    <n v="5"/>
  </r>
  <r>
    <x v="206"/>
    <s v="C0008"/>
    <x v="91"/>
    <x v="4"/>
    <x v="65"/>
    <n v="29"/>
    <x v="2"/>
    <n v="2023"/>
    <x v="0"/>
    <x v="4"/>
    <n v="5"/>
  </r>
  <r>
    <x v="207"/>
    <s v="C0012"/>
    <x v="109"/>
    <x v="1"/>
    <x v="65"/>
    <n v="165"/>
    <x v="16"/>
    <n v="2023"/>
    <x v="0"/>
    <x v="2"/>
    <n v="3"/>
  </r>
  <r>
    <x v="208"/>
    <s v="C0008"/>
    <x v="110"/>
    <x v="3"/>
    <x v="66"/>
    <n v="32"/>
    <x v="20"/>
    <n v="2023"/>
    <x v="1"/>
    <x v="1"/>
    <n v="4"/>
  </r>
  <r>
    <x v="209"/>
    <s v="C0001"/>
    <x v="84"/>
    <x v="2"/>
    <x v="66"/>
    <n v="160"/>
    <x v="0"/>
    <n v="2023"/>
    <x v="1"/>
    <x v="0"/>
    <n v="5"/>
  </r>
  <r>
    <x v="210"/>
    <s v="C0013"/>
    <x v="111"/>
    <x v="0"/>
    <x v="66"/>
    <n v="140"/>
    <x v="8"/>
    <n v="2023"/>
    <x v="1"/>
    <x v="1"/>
    <n v="4"/>
  </r>
  <r>
    <x v="211"/>
    <s v="C0012"/>
    <x v="61"/>
    <x v="0"/>
    <x v="66"/>
    <n v="136"/>
    <x v="5"/>
    <n v="2023"/>
    <x v="1"/>
    <x v="1"/>
    <n v="4"/>
  </r>
  <r>
    <x v="212"/>
    <s v="C0005"/>
    <x v="106"/>
    <x v="4"/>
    <x v="66"/>
    <n v="66"/>
    <x v="3"/>
    <n v="2023"/>
    <x v="1"/>
    <x v="0"/>
    <n v="3"/>
  </r>
  <r>
    <x v="213"/>
    <s v="C0012"/>
    <x v="36"/>
    <x v="2"/>
    <x v="67"/>
    <n v="63"/>
    <x v="17"/>
    <n v="2023"/>
    <x v="2"/>
    <x v="3"/>
    <n v="4"/>
  </r>
  <r>
    <x v="214"/>
    <s v="C0003"/>
    <x v="112"/>
    <x v="3"/>
    <x v="67"/>
    <n v="44"/>
    <x v="8"/>
    <n v="2023"/>
    <x v="2"/>
    <x v="1"/>
    <n v="4"/>
  </r>
  <r>
    <x v="215"/>
    <s v="C0013"/>
    <x v="16"/>
    <x v="1"/>
    <x v="67"/>
    <n v="78"/>
    <x v="11"/>
    <n v="2023"/>
    <x v="2"/>
    <x v="3"/>
    <n v="4"/>
  </r>
  <r>
    <x v="216"/>
    <s v="C0013"/>
    <x v="1"/>
    <x v="3"/>
    <x v="67"/>
    <n v="20"/>
    <x v="10"/>
    <n v="2023"/>
    <x v="2"/>
    <x v="0"/>
    <n v="4"/>
  </r>
  <r>
    <x v="217"/>
    <s v="C0008"/>
    <x v="83"/>
    <x v="4"/>
    <x v="67"/>
    <n v="84"/>
    <x v="25"/>
    <n v="2023"/>
    <x v="2"/>
    <x v="0"/>
    <n v="3"/>
  </r>
  <r>
    <x v="218"/>
    <s v="C0002"/>
    <x v="2"/>
    <x v="4"/>
    <x v="67"/>
    <n v="32"/>
    <x v="0"/>
    <n v="2023"/>
    <x v="2"/>
    <x v="0"/>
    <n v="5"/>
  </r>
  <r>
    <x v="219"/>
    <s v="C0009"/>
    <x v="113"/>
    <x v="1"/>
    <x v="67"/>
    <n v="132"/>
    <x v="7"/>
    <n v="2023"/>
    <x v="2"/>
    <x v="0"/>
    <n v="3"/>
  </r>
  <r>
    <x v="220"/>
    <s v="C0009"/>
    <x v="47"/>
    <x v="0"/>
    <x v="67"/>
    <n v="105"/>
    <x v="16"/>
    <n v="2023"/>
    <x v="2"/>
    <x v="0"/>
    <n v="3"/>
  </r>
  <r>
    <x v="221"/>
    <s v="C0004"/>
    <x v="12"/>
    <x v="3"/>
    <x v="68"/>
    <n v="48"/>
    <x v="2"/>
    <n v="2023"/>
    <x v="3"/>
    <x v="1"/>
    <n v="5"/>
  </r>
  <r>
    <x v="222"/>
    <s v="C0013"/>
    <x v="44"/>
    <x v="3"/>
    <x v="68"/>
    <n v="64"/>
    <x v="9"/>
    <n v="2023"/>
    <x v="3"/>
    <x v="2"/>
    <n v="4"/>
  </r>
  <r>
    <x v="223"/>
    <s v="C0006"/>
    <x v="87"/>
    <x v="0"/>
    <x v="68"/>
    <n v="44"/>
    <x v="11"/>
    <n v="2023"/>
    <x v="3"/>
    <x v="1"/>
    <n v="4"/>
  </r>
  <r>
    <x v="224"/>
    <s v="C0004"/>
    <x v="68"/>
    <x v="1"/>
    <x v="68"/>
    <n v="120"/>
    <x v="22"/>
    <n v="2023"/>
    <x v="3"/>
    <x v="2"/>
    <n v="3"/>
  </r>
  <r>
    <x v="225"/>
    <s v="C0006"/>
    <x v="33"/>
    <x v="1"/>
    <x v="68"/>
    <n v="144"/>
    <x v="4"/>
    <n v="2023"/>
    <x v="3"/>
    <x v="0"/>
    <n v="5"/>
  </r>
  <r>
    <x v="226"/>
    <s v="C0009"/>
    <x v="83"/>
    <x v="1"/>
    <x v="68"/>
    <n v="87"/>
    <x v="34"/>
    <n v="2023"/>
    <x v="3"/>
    <x v="0"/>
    <n v="3"/>
  </r>
  <r>
    <x v="227"/>
    <s v="C0011"/>
    <x v="114"/>
    <x v="4"/>
    <x v="68"/>
    <n v="36"/>
    <x v="6"/>
    <n v="2023"/>
    <x v="3"/>
    <x v="1"/>
    <n v="4"/>
  </r>
  <r>
    <x v="228"/>
    <s v="C0009"/>
    <x v="31"/>
    <x v="3"/>
    <x v="69"/>
    <n v="72"/>
    <x v="2"/>
    <n v="2023"/>
    <x v="4"/>
    <x v="0"/>
    <n v="5"/>
  </r>
  <r>
    <x v="229"/>
    <s v="C0001"/>
    <x v="76"/>
    <x v="0"/>
    <x v="69"/>
    <n v="150"/>
    <x v="5"/>
    <n v="2023"/>
    <x v="4"/>
    <x v="1"/>
    <n v="4"/>
  </r>
  <r>
    <x v="230"/>
    <s v="C0014"/>
    <x v="73"/>
    <x v="1"/>
    <x v="69"/>
    <n v="68"/>
    <x v="12"/>
    <n v="2023"/>
    <x v="4"/>
    <x v="2"/>
    <n v="4"/>
  </r>
  <r>
    <x v="231"/>
    <s v="C0004"/>
    <x v="30"/>
    <x v="0"/>
    <x v="69"/>
    <n v="99"/>
    <x v="0"/>
    <n v="2023"/>
    <x v="4"/>
    <x v="0"/>
    <n v="5"/>
  </r>
  <r>
    <x v="232"/>
    <s v="C0011"/>
    <x v="17"/>
    <x v="1"/>
    <x v="69"/>
    <n v="26"/>
    <x v="4"/>
    <n v="2023"/>
    <x v="4"/>
    <x v="2"/>
    <n v="5"/>
  </r>
  <r>
    <x v="233"/>
    <s v="C0009"/>
    <x v="38"/>
    <x v="1"/>
    <x v="69"/>
    <n v="88"/>
    <x v="23"/>
    <n v="2023"/>
    <x v="4"/>
    <x v="0"/>
    <n v="3"/>
  </r>
  <r>
    <x v="234"/>
    <s v="C0007"/>
    <x v="41"/>
    <x v="1"/>
    <x v="69"/>
    <n v="124"/>
    <x v="7"/>
    <n v="2023"/>
    <x v="4"/>
    <x v="0"/>
    <n v="3"/>
  </r>
  <r>
    <x v="235"/>
    <s v="C0006"/>
    <x v="5"/>
    <x v="1"/>
    <x v="69"/>
    <n v="72"/>
    <x v="8"/>
    <n v="2023"/>
    <x v="4"/>
    <x v="0"/>
    <n v="4"/>
  </r>
  <r>
    <x v="236"/>
    <s v="C0003"/>
    <x v="102"/>
    <x v="2"/>
    <x v="70"/>
    <n v="125"/>
    <x v="0"/>
    <n v="2023"/>
    <x v="5"/>
    <x v="0"/>
    <n v="5"/>
  </r>
  <r>
    <x v="237"/>
    <s v="C0010"/>
    <x v="90"/>
    <x v="0"/>
    <x v="70"/>
    <n v="22"/>
    <x v="17"/>
    <n v="2023"/>
    <x v="5"/>
    <x v="0"/>
    <n v="4"/>
  </r>
  <r>
    <x v="238"/>
    <s v="C0005"/>
    <x v="34"/>
    <x v="3"/>
    <x v="71"/>
    <n v="70"/>
    <x v="0"/>
    <n v="2023"/>
    <x v="6"/>
    <x v="0"/>
    <n v="5"/>
  </r>
  <r>
    <x v="239"/>
    <s v="C0015"/>
    <x v="101"/>
    <x v="1"/>
    <x v="71"/>
    <n v="24"/>
    <x v="12"/>
    <n v="2023"/>
    <x v="6"/>
    <x v="2"/>
    <n v="4"/>
  </r>
  <r>
    <x v="240"/>
    <s v="C0013"/>
    <x v="29"/>
    <x v="4"/>
    <x v="71"/>
    <n v="32"/>
    <x v="17"/>
    <n v="2023"/>
    <x v="6"/>
    <x v="0"/>
    <n v="4"/>
  </r>
  <r>
    <x v="241"/>
    <s v="C0001"/>
    <x v="32"/>
    <x v="2"/>
    <x v="71"/>
    <n v="112"/>
    <x v="5"/>
    <n v="2023"/>
    <x v="6"/>
    <x v="0"/>
    <n v="4"/>
  </r>
  <r>
    <x v="242"/>
    <s v="C0010"/>
    <x v="20"/>
    <x v="1"/>
    <x v="72"/>
    <n v="43"/>
    <x v="14"/>
    <n v="2023"/>
    <x v="0"/>
    <x v="2"/>
    <n v="5"/>
  </r>
  <r>
    <x v="243"/>
    <s v="C0006"/>
    <x v="5"/>
    <x v="2"/>
    <x v="72"/>
    <n v="22"/>
    <x v="8"/>
    <n v="2023"/>
    <x v="0"/>
    <x v="0"/>
    <n v="4"/>
  </r>
  <r>
    <x v="244"/>
    <s v="C0009"/>
    <x v="115"/>
    <x v="2"/>
    <x v="72"/>
    <n v="93"/>
    <x v="5"/>
    <n v="2023"/>
    <x v="0"/>
    <x v="1"/>
    <n v="4"/>
  </r>
  <r>
    <x v="245"/>
    <s v="C0010"/>
    <x v="19"/>
    <x v="2"/>
    <x v="72"/>
    <n v="45"/>
    <x v="8"/>
    <n v="2023"/>
    <x v="0"/>
    <x v="0"/>
    <n v="4"/>
  </r>
  <r>
    <x v="246"/>
    <s v="C0004"/>
    <x v="116"/>
    <x v="2"/>
    <x v="73"/>
    <n v="96"/>
    <x v="11"/>
    <n v="2023"/>
    <x v="1"/>
    <x v="1"/>
    <n v="4"/>
  </r>
  <r>
    <x v="247"/>
    <s v="C0004"/>
    <x v="34"/>
    <x v="1"/>
    <x v="73"/>
    <n v="96"/>
    <x v="16"/>
    <n v="2023"/>
    <x v="1"/>
    <x v="0"/>
    <n v="3"/>
  </r>
  <r>
    <x v="248"/>
    <s v="C0005"/>
    <x v="108"/>
    <x v="0"/>
    <x v="73"/>
    <n v="31"/>
    <x v="5"/>
    <n v="2023"/>
    <x v="1"/>
    <x v="2"/>
    <n v="4"/>
  </r>
  <r>
    <x v="249"/>
    <s v="C0011"/>
    <x v="13"/>
    <x v="1"/>
    <x v="73"/>
    <n v="200"/>
    <x v="10"/>
    <n v="2023"/>
    <x v="1"/>
    <x v="2"/>
    <n v="4"/>
  </r>
  <r>
    <x v="250"/>
    <s v="C0004"/>
    <x v="71"/>
    <x v="0"/>
    <x v="73"/>
    <n v="99"/>
    <x v="34"/>
    <n v="2023"/>
    <x v="1"/>
    <x v="2"/>
    <n v="3"/>
  </r>
  <r>
    <x v="251"/>
    <s v="C0014"/>
    <x v="117"/>
    <x v="4"/>
    <x v="73"/>
    <n v="144"/>
    <x v="1"/>
    <n v="2023"/>
    <x v="1"/>
    <x v="0"/>
    <n v="3"/>
  </r>
  <r>
    <x v="252"/>
    <s v="C0005"/>
    <x v="9"/>
    <x v="2"/>
    <x v="74"/>
    <n v="81"/>
    <x v="9"/>
    <n v="2023"/>
    <x v="2"/>
    <x v="0"/>
    <n v="4"/>
  </r>
  <r>
    <x v="253"/>
    <s v="C0014"/>
    <x v="23"/>
    <x v="4"/>
    <x v="74"/>
    <n v="70"/>
    <x v="5"/>
    <n v="2023"/>
    <x v="2"/>
    <x v="1"/>
    <n v="4"/>
  </r>
  <r>
    <x v="254"/>
    <s v="C0004"/>
    <x v="47"/>
    <x v="4"/>
    <x v="74"/>
    <n v="148"/>
    <x v="13"/>
    <n v="2023"/>
    <x v="2"/>
    <x v="0"/>
    <n v="5"/>
  </r>
  <r>
    <x v="255"/>
    <s v="C0007"/>
    <x v="44"/>
    <x v="2"/>
    <x v="74"/>
    <n v="215"/>
    <x v="17"/>
    <n v="2023"/>
    <x v="2"/>
    <x v="2"/>
    <n v="4"/>
  </r>
  <r>
    <x v="256"/>
    <s v="C0007"/>
    <x v="111"/>
    <x v="1"/>
    <x v="74"/>
    <n v="124"/>
    <x v="5"/>
    <n v="2023"/>
    <x v="2"/>
    <x v="1"/>
    <n v="4"/>
  </r>
  <r>
    <x v="257"/>
    <s v="C0006"/>
    <x v="97"/>
    <x v="3"/>
    <x v="74"/>
    <n v="168"/>
    <x v="17"/>
    <n v="2023"/>
    <x v="2"/>
    <x v="0"/>
    <n v="4"/>
  </r>
  <r>
    <x v="258"/>
    <s v="C0012"/>
    <x v="85"/>
    <x v="0"/>
    <x v="74"/>
    <n v="90"/>
    <x v="14"/>
    <n v="2023"/>
    <x v="2"/>
    <x v="1"/>
    <n v="5"/>
  </r>
  <r>
    <x v="259"/>
    <s v="C0012"/>
    <x v="20"/>
    <x v="2"/>
    <x v="75"/>
    <n v="176"/>
    <x v="18"/>
    <n v="2023"/>
    <x v="3"/>
    <x v="2"/>
    <n v="4"/>
  </r>
  <r>
    <x v="260"/>
    <s v="C0011"/>
    <x v="47"/>
    <x v="4"/>
    <x v="75"/>
    <n v="87"/>
    <x v="19"/>
    <n v="2023"/>
    <x v="3"/>
    <x v="0"/>
    <n v="5"/>
  </r>
  <r>
    <x v="261"/>
    <s v="C0009"/>
    <x v="44"/>
    <x v="1"/>
    <x v="75"/>
    <n v="128"/>
    <x v="14"/>
    <n v="2023"/>
    <x v="3"/>
    <x v="2"/>
    <n v="5"/>
  </r>
  <r>
    <x v="262"/>
    <s v="C0008"/>
    <x v="92"/>
    <x v="4"/>
    <x v="75"/>
    <n v="120"/>
    <x v="17"/>
    <n v="2023"/>
    <x v="3"/>
    <x v="1"/>
    <n v="4"/>
  </r>
  <r>
    <x v="263"/>
    <s v="C0002"/>
    <x v="58"/>
    <x v="3"/>
    <x v="75"/>
    <n v="130"/>
    <x v="4"/>
    <n v="2023"/>
    <x v="3"/>
    <x v="0"/>
    <n v="5"/>
  </r>
  <r>
    <x v="264"/>
    <s v="C0015"/>
    <x v="85"/>
    <x v="1"/>
    <x v="75"/>
    <n v="172"/>
    <x v="22"/>
    <n v="2023"/>
    <x v="3"/>
    <x v="1"/>
    <n v="3"/>
  </r>
  <r>
    <x v="265"/>
    <s v="C0010"/>
    <x v="37"/>
    <x v="1"/>
    <x v="75"/>
    <n v="58"/>
    <x v="0"/>
    <n v="2023"/>
    <x v="3"/>
    <x v="1"/>
    <n v="5"/>
  </r>
  <r>
    <x v="266"/>
    <s v="C0007"/>
    <x v="75"/>
    <x v="3"/>
    <x v="76"/>
    <n v="86"/>
    <x v="17"/>
    <n v="2023"/>
    <x v="4"/>
    <x v="0"/>
    <n v="4"/>
  </r>
  <r>
    <x v="267"/>
    <s v="C0012"/>
    <x v="112"/>
    <x v="3"/>
    <x v="77"/>
    <n v="31"/>
    <x v="5"/>
    <n v="2023"/>
    <x v="5"/>
    <x v="1"/>
    <n v="4"/>
  </r>
  <r>
    <x v="268"/>
    <s v="C0005"/>
    <x v="107"/>
    <x v="4"/>
    <x v="77"/>
    <n v="72"/>
    <x v="5"/>
    <n v="2023"/>
    <x v="5"/>
    <x v="0"/>
    <n v="4"/>
  </r>
  <r>
    <x v="269"/>
    <s v="C0012"/>
    <x v="118"/>
    <x v="0"/>
    <x v="78"/>
    <n v="27"/>
    <x v="35"/>
    <n v="2023"/>
    <x v="6"/>
    <x v="1"/>
    <n v="3"/>
  </r>
  <r>
    <x v="270"/>
    <s v="C0008"/>
    <x v="77"/>
    <x v="1"/>
    <x v="78"/>
    <n v="110"/>
    <x v="5"/>
    <n v="2023"/>
    <x v="6"/>
    <x v="0"/>
    <n v="4"/>
  </r>
  <r>
    <x v="271"/>
    <s v="C0006"/>
    <x v="53"/>
    <x v="4"/>
    <x v="78"/>
    <n v="126"/>
    <x v="20"/>
    <n v="2023"/>
    <x v="6"/>
    <x v="0"/>
    <n v="4"/>
  </r>
  <r>
    <x v="272"/>
    <s v="C0009"/>
    <x v="40"/>
    <x v="0"/>
    <x v="78"/>
    <n v="60"/>
    <x v="10"/>
    <n v="2023"/>
    <x v="6"/>
    <x v="1"/>
    <n v="4"/>
  </r>
  <r>
    <x v="273"/>
    <s v="C0012"/>
    <x v="82"/>
    <x v="4"/>
    <x v="78"/>
    <n v="35"/>
    <x v="8"/>
    <n v="2023"/>
    <x v="6"/>
    <x v="2"/>
    <n v="4"/>
  </r>
  <r>
    <x v="274"/>
    <s v="C0004"/>
    <x v="97"/>
    <x v="1"/>
    <x v="78"/>
    <n v="81"/>
    <x v="8"/>
    <n v="2023"/>
    <x v="6"/>
    <x v="0"/>
    <n v="4"/>
  </r>
  <r>
    <x v="275"/>
    <s v="C0003"/>
    <x v="27"/>
    <x v="0"/>
    <x v="78"/>
    <n v="116"/>
    <x v="7"/>
    <n v="2023"/>
    <x v="6"/>
    <x v="1"/>
    <n v="3"/>
  </r>
  <r>
    <x v="276"/>
    <s v="C0011"/>
    <x v="119"/>
    <x v="2"/>
    <x v="78"/>
    <n v="60"/>
    <x v="14"/>
    <n v="2023"/>
    <x v="6"/>
    <x v="1"/>
    <n v="5"/>
  </r>
  <r>
    <x v="277"/>
    <s v="C0006"/>
    <x v="120"/>
    <x v="0"/>
    <x v="79"/>
    <n v="130"/>
    <x v="18"/>
    <n v="2023"/>
    <x v="0"/>
    <x v="0"/>
    <n v="4"/>
  </r>
  <r>
    <x v="278"/>
    <s v="C0013"/>
    <x v="46"/>
    <x v="3"/>
    <x v="79"/>
    <n v="99"/>
    <x v="13"/>
    <n v="2023"/>
    <x v="0"/>
    <x v="0"/>
    <n v="5"/>
  </r>
  <r>
    <x v="279"/>
    <s v="C0015"/>
    <x v="29"/>
    <x v="1"/>
    <x v="79"/>
    <n v="135"/>
    <x v="2"/>
    <n v="2023"/>
    <x v="0"/>
    <x v="0"/>
    <n v="5"/>
  </r>
  <r>
    <x v="280"/>
    <s v="C0004"/>
    <x v="6"/>
    <x v="0"/>
    <x v="79"/>
    <n v="42"/>
    <x v="3"/>
    <n v="2023"/>
    <x v="0"/>
    <x v="0"/>
    <n v="3"/>
  </r>
  <r>
    <x v="281"/>
    <s v="C0006"/>
    <x v="0"/>
    <x v="3"/>
    <x v="80"/>
    <n v="63"/>
    <x v="7"/>
    <n v="2023"/>
    <x v="1"/>
    <x v="0"/>
    <n v="3"/>
  </r>
  <r>
    <x v="282"/>
    <s v="C0007"/>
    <x v="84"/>
    <x v="2"/>
    <x v="80"/>
    <n v="140"/>
    <x v="32"/>
    <n v="2023"/>
    <x v="1"/>
    <x v="0"/>
    <n v="2"/>
  </r>
  <r>
    <x v="283"/>
    <s v="C0012"/>
    <x v="116"/>
    <x v="1"/>
    <x v="80"/>
    <n v="128"/>
    <x v="18"/>
    <n v="2023"/>
    <x v="1"/>
    <x v="1"/>
    <n v="4"/>
  </r>
  <r>
    <x v="284"/>
    <s v="C0002"/>
    <x v="56"/>
    <x v="4"/>
    <x v="80"/>
    <n v="80"/>
    <x v="5"/>
    <n v="2023"/>
    <x v="1"/>
    <x v="1"/>
    <n v="4"/>
  </r>
  <r>
    <x v="285"/>
    <s v="C0011"/>
    <x v="48"/>
    <x v="3"/>
    <x v="80"/>
    <n v="28"/>
    <x v="34"/>
    <n v="2023"/>
    <x v="1"/>
    <x v="0"/>
    <n v="3"/>
  </r>
  <r>
    <x v="286"/>
    <s v="C0015"/>
    <x v="121"/>
    <x v="2"/>
    <x v="81"/>
    <n v="81"/>
    <x v="13"/>
    <n v="2023"/>
    <x v="2"/>
    <x v="2"/>
    <n v="5"/>
  </r>
  <r>
    <x v="287"/>
    <s v="C0004"/>
    <x v="76"/>
    <x v="1"/>
    <x v="81"/>
    <n v="99"/>
    <x v="10"/>
    <n v="2023"/>
    <x v="2"/>
    <x v="1"/>
    <n v="4"/>
  </r>
  <r>
    <x v="288"/>
    <s v="C0007"/>
    <x v="67"/>
    <x v="1"/>
    <x v="81"/>
    <n v="43"/>
    <x v="11"/>
    <n v="2023"/>
    <x v="2"/>
    <x v="0"/>
    <n v="4"/>
  </r>
  <r>
    <x v="289"/>
    <s v="C0013"/>
    <x v="101"/>
    <x v="1"/>
    <x v="81"/>
    <n v="34"/>
    <x v="19"/>
    <n v="2023"/>
    <x v="2"/>
    <x v="2"/>
    <n v="5"/>
  </r>
  <r>
    <x v="290"/>
    <s v="C0007"/>
    <x v="108"/>
    <x v="2"/>
    <x v="81"/>
    <n v="225"/>
    <x v="19"/>
    <n v="2023"/>
    <x v="2"/>
    <x v="2"/>
    <n v="5"/>
  </r>
  <r>
    <x v="291"/>
    <s v="C0015"/>
    <x v="44"/>
    <x v="4"/>
    <x v="81"/>
    <n v="210"/>
    <x v="14"/>
    <n v="2023"/>
    <x v="2"/>
    <x v="2"/>
    <n v="5"/>
  </r>
  <r>
    <x v="292"/>
    <s v="C0012"/>
    <x v="78"/>
    <x v="1"/>
    <x v="81"/>
    <n v="168"/>
    <x v="18"/>
    <n v="2023"/>
    <x v="2"/>
    <x v="3"/>
    <n v="4"/>
  </r>
  <r>
    <x v="293"/>
    <s v="C0013"/>
    <x v="47"/>
    <x v="0"/>
    <x v="82"/>
    <n v="82"/>
    <x v="14"/>
    <n v="2023"/>
    <x v="3"/>
    <x v="0"/>
    <n v="5"/>
  </r>
  <r>
    <x v="294"/>
    <s v="C0005"/>
    <x v="108"/>
    <x v="3"/>
    <x v="82"/>
    <n v="88"/>
    <x v="17"/>
    <n v="2023"/>
    <x v="3"/>
    <x v="2"/>
    <n v="4"/>
  </r>
  <r>
    <x v="295"/>
    <s v="C0008"/>
    <x v="48"/>
    <x v="0"/>
    <x v="82"/>
    <n v="111"/>
    <x v="16"/>
    <n v="2023"/>
    <x v="3"/>
    <x v="0"/>
    <n v="3"/>
  </r>
  <r>
    <x v="296"/>
    <s v="C0001"/>
    <x v="3"/>
    <x v="4"/>
    <x v="82"/>
    <n v="60"/>
    <x v="11"/>
    <n v="2023"/>
    <x v="3"/>
    <x v="1"/>
    <n v="4"/>
  </r>
  <r>
    <x v="297"/>
    <s v="C0011"/>
    <x v="4"/>
    <x v="0"/>
    <x v="82"/>
    <n v="80"/>
    <x v="35"/>
    <n v="2023"/>
    <x v="3"/>
    <x v="2"/>
    <n v="3"/>
  </r>
  <r>
    <x v="298"/>
    <s v="C0001"/>
    <x v="34"/>
    <x v="2"/>
    <x v="83"/>
    <n v="90"/>
    <x v="19"/>
    <n v="2023"/>
    <x v="5"/>
    <x v="0"/>
    <n v="5"/>
  </r>
  <r>
    <x v="299"/>
    <s v="C0009"/>
    <x v="69"/>
    <x v="0"/>
    <x v="83"/>
    <n v="225"/>
    <x v="1"/>
    <n v="2023"/>
    <x v="5"/>
    <x v="0"/>
    <n v="3"/>
  </r>
  <r>
    <x v="300"/>
    <s v="C0003"/>
    <x v="73"/>
    <x v="1"/>
    <x v="84"/>
    <n v="215"/>
    <x v="23"/>
    <n v="2023"/>
    <x v="6"/>
    <x v="2"/>
    <n v="3"/>
  </r>
  <r>
    <x v="301"/>
    <s v="C0014"/>
    <x v="60"/>
    <x v="2"/>
    <x v="84"/>
    <n v="45"/>
    <x v="38"/>
    <n v="2023"/>
    <x v="6"/>
    <x v="2"/>
    <n v="2"/>
  </r>
  <r>
    <x v="302"/>
    <s v="C0010"/>
    <x v="15"/>
    <x v="1"/>
    <x v="84"/>
    <n v="74"/>
    <x v="9"/>
    <n v="2023"/>
    <x v="6"/>
    <x v="0"/>
    <n v="4"/>
  </r>
  <r>
    <x v="303"/>
    <s v="C0005"/>
    <x v="105"/>
    <x v="2"/>
    <x v="84"/>
    <n v="60"/>
    <x v="6"/>
    <n v="2023"/>
    <x v="6"/>
    <x v="3"/>
    <n v="4"/>
  </r>
  <r>
    <x v="304"/>
    <s v="C0013"/>
    <x v="83"/>
    <x v="1"/>
    <x v="84"/>
    <n v="64"/>
    <x v="20"/>
    <n v="2023"/>
    <x v="6"/>
    <x v="0"/>
    <n v="4"/>
  </r>
  <r>
    <x v="305"/>
    <s v="C0012"/>
    <x v="51"/>
    <x v="0"/>
    <x v="85"/>
    <n v="110"/>
    <x v="4"/>
    <n v="2023"/>
    <x v="0"/>
    <x v="0"/>
    <n v="5"/>
  </r>
  <r>
    <x v="306"/>
    <s v="C0004"/>
    <x v="48"/>
    <x v="4"/>
    <x v="85"/>
    <n v="52"/>
    <x v="39"/>
    <n v="2023"/>
    <x v="0"/>
    <x v="0"/>
    <n v="1"/>
  </r>
  <r>
    <x v="307"/>
    <s v="C0005"/>
    <x v="22"/>
    <x v="3"/>
    <x v="86"/>
    <n v="160"/>
    <x v="2"/>
    <n v="2023"/>
    <x v="1"/>
    <x v="0"/>
    <n v="5"/>
  </r>
  <r>
    <x v="308"/>
    <s v="C0006"/>
    <x v="65"/>
    <x v="3"/>
    <x v="86"/>
    <n v="215"/>
    <x v="2"/>
    <n v="2023"/>
    <x v="1"/>
    <x v="1"/>
    <n v="5"/>
  </r>
  <r>
    <x v="309"/>
    <s v="C0006"/>
    <x v="101"/>
    <x v="4"/>
    <x v="86"/>
    <n v="220"/>
    <x v="14"/>
    <n v="2023"/>
    <x v="1"/>
    <x v="2"/>
    <n v="5"/>
  </r>
  <r>
    <x v="310"/>
    <s v="C0010"/>
    <x v="75"/>
    <x v="1"/>
    <x v="87"/>
    <n v="175"/>
    <x v="8"/>
    <n v="2023"/>
    <x v="2"/>
    <x v="0"/>
    <n v="4"/>
  </r>
  <r>
    <x v="311"/>
    <s v="C0012"/>
    <x v="32"/>
    <x v="1"/>
    <x v="87"/>
    <n v="145"/>
    <x v="17"/>
    <n v="2023"/>
    <x v="2"/>
    <x v="0"/>
    <n v="4"/>
  </r>
  <r>
    <x v="312"/>
    <s v="C0014"/>
    <x v="122"/>
    <x v="2"/>
    <x v="87"/>
    <n v="72"/>
    <x v="5"/>
    <n v="2023"/>
    <x v="2"/>
    <x v="1"/>
    <n v="4"/>
  </r>
  <r>
    <x v="313"/>
    <s v="C0007"/>
    <x v="18"/>
    <x v="1"/>
    <x v="88"/>
    <n v="81"/>
    <x v="6"/>
    <n v="2023"/>
    <x v="3"/>
    <x v="2"/>
    <n v="4"/>
  </r>
  <r>
    <x v="314"/>
    <s v="C0015"/>
    <x v="49"/>
    <x v="4"/>
    <x v="88"/>
    <n v="54"/>
    <x v="17"/>
    <n v="2023"/>
    <x v="3"/>
    <x v="1"/>
    <n v="4"/>
  </r>
  <r>
    <x v="315"/>
    <s v="C0013"/>
    <x v="123"/>
    <x v="2"/>
    <x v="88"/>
    <n v="105"/>
    <x v="4"/>
    <n v="2023"/>
    <x v="3"/>
    <x v="3"/>
    <n v="5"/>
  </r>
  <r>
    <x v="316"/>
    <s v="C0015"/>
    <x v="55"/>
    <x v="1"/>
    <x v="89"/>
    <n v="176"/>
    <x v="10"/>
    <n v="2023"/>
    <x v="4"/>
    <x v="1"/>
    <n v="4"/>
  </r>
  <r>
    <x v="317"/>
    <s v="C0005"/>
    <x v="99"/>
    <x v="1"/>
    <x v="89"/>
    <n v="115"/>
    <x v="11"/>
    <n v="2023"/>
    <x v="4"/>
    <x v="0"/>
    <n v="4"/>
  </r>
  <r>
    <x v="318"/>
    <s v="C0006"/>
    <x v="73"/>
    <x v="0"/>
    <x v="89"/>
    <n v="116"/>
    <x v="10"/>
    <n v="2023"/>
    <x v="4"/>
    <x v="2"/>
    <n v="4"/>
  </r>
  <r>
    <x v="319"/>
    <s v="C0006"/>
    <x v="119"/>
    <x v="4"/>
    <x v="89"/>
    <n v="100"/>
    <x v="17"/>
    <n v="2023"/>
    <x v="4"/>
    <x v="1"/>
    <n v="4"/>
  </r>
  <r>
    <x v="320"/>
    <s v="C0009"/>
    <x v="50"/>
    <x v="4"/>
    <x v="90"/>
    <n v="36"/>
    <x v="30"/>
    <n v="2023"/>
    <x v="5"/>
    <x v="0"/>
    <n v="2"/>
  </r>
  <r>
    <x v="321"/>
    <s v="C0001"/>
    <x v="95"/>
    <x v="4"/>
    <x v="90"/>
    <n v="114"/>
    <x v="13"/>
    <n v="2023"/>
    <x v="5"/>
    <x v="0"/>
    <n v="5"/>
  </r>
  <r>
    <x v="322"/>
    <s v="C0001"/>
    <x v="124"/>
    <x v="0"/>
    <x v="90"/>
    <n v="24"/>
    <x v="11"/>
    <n v="2023"/>
    <x v="5"/>
    <x v="1"/>
    <n v="4"/>
  </r>
  <r>
    <x v="323"/>
    <s v="C0007"/>
    <x v="125"/>
    <x v="1"/>
    <x v="90"/>
    <n v="135"/>
    <x v="19"/>
    <n v="2023"/>
    <x v="5"/>
    <x v="2"/>
    <n v="5"/>
  </r>
  <r>
    <x v="324"/>
    <s v="C0015"/>
    <x v="33"/>
    <x v="1"/>
    <x v="90"/>
    <n v="30"/>
    <x v="9"/>
    <n v="2023"/>
    <x v="5"/>
    <x v="0"/>
    <n v="4"/>
  </r>
  <r>
    <x v="325"/>
    <s v="C0004"/>
    <x v="29"/>
    <x v="1"/>
    <x v="90"/>
    <n v="84"/>
    <x v="3"/>
    <n v="2023"/>
    <x v="5"/>
    <x v="0"/>
    <n v="3"/>
  </r>
  <r>
    <x v="326"/>
    <s v="C0008"/>
    <x v="95"/>
    <x v="3"/>
    <x v="90"/>
    <n v="42"/>
    <x v="5"/>
    <n v="2023"/>
    <x v="5"/>
    <x v="0"/>
    <n v="4"/>
  </r>
  <r>
    <x v="327"/>
    <s v="C0009"/>
    <x v="123"/>
    <x v="4"/>
    <x v="90"/>
    <n v="117"/>
    <x v="21"/>
    <n v="2023"/>
    <x v="5"/>
    <x v="3"/>
    <n v="2"/>
  </r>
  <r>
    <x v="328"/>
    <s v="C0010"/>
    <x v="38"/>
    <x v="2"/>
    <x v="90"/>
    <n v="164"/>
    <x v="9"/>
    <n v="2023"/>
    <x v="5"/>
    <x v="0"/>
    <n v="4"/>
  </r>
  <r>
    <x v="329"/>
    <s v="C0001"/>
    <x v="48"/>
    <x v="3"/>
    <x v="91"/>
    <n v="123"/>
    <x v="5"/>
    <n v="2023"/>
    <x v="6"/>
    <x v="0"/>
    <n v="4"/>
  </r>
  <r>
    <x v="330"/>
    <s v="C0011"/>
    <x v="4"/>
    <x v="0"/>
    <x v="91"/>
    <n v="172"/>
    <x v="1"/>
    <n v="2023"/>
    <x v="6"/>
    <x v="2"/>
    <n v="3"/>
  </r>
  <r>
    <x v="331"/>
    <s v="C0012"/>
    <x v="126"/>
    <x v="4"/>
    <x v="91"/>
    <n v="20"/>
    <x v="4"/>
    <n v="2023"/>
    <x v="6"/>
    <x v="4"/>
    <n v="5"/>
  </r>
  <r>
    <x v="332"/>
    <s v="C0001"/>
    <x v="43"/>
    <x v="0"/>
    <x v="91"/>
    <n v="72"/>
    <x v="20"/>
    <n v="2023"/>
    <x v="6"/>
    <x v="1"/>
    <n v="4"/>
  </r>
  <r>
    <x v="333"/>
    <s v="C0005"/>
    <x v="33"/>
    <x v="1"/>
    <x v="91"/>
    <n v="32"/>
    <x v="4"/>
    <n v="2023"/>
    <x v="6"/>
    <x v="0"/>
    <n v="5"/>
  </r>
  <r>
    <x v="334"/>
    <s v="C0009"/>
    <x v="113"/>
    <x v="3"/>
    <x v="91"/>
    <n v="140"/>
    <x v="23"/>
    <n v="2023"/>
    <x v="6"/>
    <x v="0"/>
    <n v="3"/>
  </r>
  <r>
    <x v="335"/>
    <s v="C0005"/>
    <x v="42"/>
    <x v="1"/>
    <x v="92"/>
    <n v="120"/>
    <x v="0"/>
    <n v="2023"/>
    <x v="0"/>
    <x v="0"/>
    <n v="5"/>
  </r>
  <r>
    <x v="336"/>
    <s v="C0015"/>
    <x v="123"/>
    <x v="1"/>
    <x v="92"/>
    <n v="86"/>
    <x v="30"/>
    <n v="2023"/>
    <x v="0"/>
    <x v="3"/>
    <n v="2"/>
  </r>
  <r>
    <x v="337"/>
    <s v="C0004"/>
    <x v="53"/>
    <x v="1"/>
    <x v="92"/>
    <n v="132"/>
    <x v="13"/>
    <n v="2023"/>
    <x v="0"/>
    <x v="0"/>
    <n v="5"/>
  </r>
  <r>
    <x v="338"/>
    <s v="C0006"/>
    <x v="90"/>
    <x v="1"/>
    <x v="92"/>
    <n v="80"/>
    <x v="16"/>
    <n v="2023"/>
    <x v="0"/>
    <x v="0"/>
    <n v="3"/>
  </r>
  <r>
    <x v="339"/>
    <s v="C0002"/>
    <x v="68"/>
    <x v="0"/>
    <x v="92"/>
    <n v="132"/>
    <x v="20"/>
    <n v="2023"/>
    <x v="0"/>
    <x v="2"/>
    <n v="4"/>
  </r>
  <r>
    <x v="340"/>
    <s v="C0005"/>
    <x v="71"/>
    <x v="3"/>
    <x v="92"/>
    <n v="27"/>
    <x v="20"/>
    <n v="2023"/>
    <x v="0"/>
    <x v="2"/>
    <n v="4"/>
  </r>
  <r>
    <x v="341"/>
    <s v="C0010"/>
    <x v="38"/>
    <x v="3"/>
    <x v="93"/>
    <n v="68"/>
    <x v="6"/>
    <n v="2023"/>
    <x v="1"/>
    <x v="0"/>
    <n v="4"/>
  </r>
  <r>
    <x v="342"/>
    <s v="C0002"/>
    <x v="0"/>
    <x v="1"/>
    <x v="93"/>
    <n v="22"/>
    <x v="2"/>
    <n v="2023"/>
    <x v="1"/>
    <x v="0"/>
    <n v="5"/>
  </r>
  <r>
    <x v="343"/>
    <s v="C0015"/>
    <x v="15"/>
    <x v="3"/>
    <x v="93"/>
    <n v="42"/>
    <x v="22"/>
    <n v="2023"/>
    <x v="1"/>
    <x v="0"/>
    <n v="3"/>
  </r>
  <r>
    <x v="344"/>
    <s v="C0010"/>
    <x v="5"/>
    <x v="3"/>
    <x v="94"/>
    <n v="38"/>
    <x v="16"/>
    <n v="2023"/>
    <x v="2"/>
    <x v="0"/>
    <n v="3"/>
  </r>
  <r>
    <x v="345"/>
    <s v="C0012"/>
    <x v="127"/>
    <x v="3"/>
    <x v="94"/>
    <n v="42"/>
    <x v="14"/>
    <n v="2023"/>
    <x v="2"/>
    <x v="1"/>
    <n v="5"/>
  </r>
  <r>
    <x v="346"/>
    <s v="C0007"/>
    <x v="128"/>
    <x v="0"/>
    <x v="94"/>
    <n v="75"/>
    <x v="10"/>
    <n v="2023"/>
    <x v="2"/>
    <x v="3"/>
    <n v="4"/>
  </r>
  <r>
    <x v="347"/>
    <s v="C0012"/>
    <x v="93"/>
    <x v="4"/>
    <x v="95"/>
    <n v="23"/>
    <x v="0"/>
    <n v="2023"/>
    <x v="3"/>
    <x v="2"/>
    <n v="5"/>
  </r>
  <r>
    <x v="348"/>
    <s v="C0012"/>
    <x v="34"/>
    <x v="0"/>
    <x v="95"/>
    <n v="200"/>
    <x v="4"/>
    <n v="2023"/>
    <x v="3"/>
    <x v="0"/>
    <n v="5"/>
  </r>
  <r>
    <x v="349"/>
    <s v="C0014"/>
    <x v="21"/>
    <x v="1"/>
    <x v="96"/>
    <n v="45"/>
    <x v="6"/>
    <n v="2023"/>
    <x v="4"/>
    <x v="0"/>
    <n v="4"/>
  </r>
  <r>
    <x v="350"/>
    <s v="C0015"/>
    <x v="54"/>
    <x v="1"/>
    <x v="96"/>
    <n v="105"/>
    <x v="8"/>
    <n v="2023"/>
    <x v="4"/>
    <x v="2"/>
    <n v="4"/>
  </r>
  <r>
    <x v="351"/>
    <s v="C0011"/>
    <x v="11"/>
    <x v="1"/>
    <x v="96"/>
    <n v="22"/>
    <x v="11"/>
    <n v="2023"/>
    <x v="4"/>
    <x v="0"/>
    <n v="4"/>
  </r>
  <r>
    <x v="352"/>
    <s v="C0013"/>
    <x v="59"/>
    <x v="3"/>
    <x v="97"/>
    <n v="126"/>
    <x v="5"/>
    <n v="2023"/>
    <x v="5"/>
    <x v="0"/>
    <n v="4"/>
  </r>
  <r>
    <x v="353"/>
    <s v="C0006"/>
    <x v="19"/>
    <x v="3"/>
    <x v="97"/>
    <n v="35"/>
    <x v="35"/>
    <n v="2023"/>
    <x v="5"/>
    <x v="0"/>
    <n v="3"/>
  </r>
  <r>
    <x v="354"/>
    <s v="C0005"/>
    <x v="129"/>
    <x v="1"/>
    <x v="97"/>
    <n v="84"/>
    <x v="14"/>
    <n v="2023"/>
    <x v="5"/>
    <x v="0"/>
    <n v="5"/>
  </r>
  <r>
    <x v="355"/>
    <s v="C0008"/>
    <x v="19"/>
    <x v="1"/>
    <x v="98"/>
    <n v="172"/>
    <x v="14"/>
    <n v="2023"/>
    <x v="6"/>
    <x v="0"/>
    <n v="5"/>
  </r>
  <r>
    <x v="356"/>
    <s v="C0013"/>
    <x v="12"/>
    <x v="0"/>
    <x v="98"/>
    <n v="114"/>
    <x v="9"/>
    <n v="2023"/>
    <x v="6"/>
    <x v="1"/>
    <n v="4"/>
  </r>
  <r>
    <x v="357"/>
    <s v="C0008"/>
    <x v="9"/>
    <x v="0"/>
    <x v="98"/>
    <n v="60"/>
    <x v="11"/>
    <n v="2023"/>
    <x v="6"/>
    <x v="0"/>
    <n v="4"/>
  </r>
  <r>
    <x v="358"/>
    <s v="C0001"/>
    <x v="130"/>
    <x v="2"/>
    <x v="98"/>
    <n v="26"/>
    <x v="16"/>
    <n v="2023"/>
    <x v="6"/>
    <x v="0"/>
    <n v="3"/>
  </r>
  <r>
    <x v="359"/>
    <s v="C0007"/>
    <x v="131"/>
    <x v="1"/>
    <x v="98"/>
    <n v="210"/>
    <x v="12"/>
    <n v="2023"/>
    <x v="6"/>
    <x v="0"/>
    <n v="4"/>
  </r>
  <r>
    <x v="360"/>
    <s v="C0009"/>
    <x v="106"/>
    <x v="0"/>
    <x v="98"/>
    <n v="129"/>
    <x v="18"/>
    <n v="2023"/>
    <x v="6"/>
    <x v="0"/>
    <n v="4"/>
  </r>
  <r>
    <x v="361"/>
    <s v="C0006"/>
    <x v="71"/>
    <x v="2"/>
    <x v="98"/>
    <n v="215"/>
    <x v="12"/>
    <n v="2023"/>
    <x v="6"/>
    <x v="2"/>
    <n v="4"/>
  </r>
  <r>
    <x v="362"/>
    <s v="C0001"/>
    <x v="132"/>
    <x v="4"/>
    <x v="98"/>
    <n v="69"/>
    <x v="19"/>
    <n v="2023"/>
    <x v="6"/>
    <x v="3"/>
    <n v="5"/>
  </r>
  <r>
    <x v="363"/>
    <s v="C0006"/>
    <x v="3"/>
    <x v="4"/>
    <x v="98"/>
    <n v="140"/>
    <x v="35"/>
    <n v="2023"/>
    <x v="6"/>
    <x v="1"/>
    <n v="3"/>
  </r>
  <r>
    <x v="364"/>
    <s v="C0015"/>
    <x v="64"/>
    <x v="2"/>
    <x v="99"/>
    <n v="156"/>
    <x v="34"/>
    <n v="2023"/>
    <x v="0"/>
    <x v="2"/>
    <n v="3"/>
  </r>
  <r>
    <x v="365"/>
    <s v="C0001"/>
    <x v="103"/>
    <x v="4"/>
    <x v="99"/>
    <n v="164"/>
    <x v="22"/>
    <n v="2023"/>
    <x v="0"/>
    <x v="2"/>
    <n v="3"/>
  </r>
  <r>
    <x v="366"/>
    <s v="C0002"/>
    <x v="4"/>
    <x v="4"/>
    <x v="99"/>
    <n v="195"/>
    <x v="27"/>
    <n v="2023"/>
    <x v="0"/>
    <x v="2"/>
    <n v="3"/>
  </r>
  <r>
    <x v="367"/>
    <s v="C0004"/>
    <x v="98"/>
    <x v="3"/>
    <x v="99"/>
    <n v="74"/>
    <x v="19"/>
    <n v="2023"/>
    <x v="0"/>
    <x v="3"/>
    <n v="5"/>
  </r>
  <r>
    <x v="368"/>
    <s v="C0012"/>
    <x v="122"/>
    <x v="2"/>
    <x v="99"/>
    <n v="100"/>
    <x v="9"/>
    <n v="2023"/>
    <x v="0"/>
    <x v="1"/>
    <n v="4"/>
  </r>
  <r>
    <x v="369"/>
    <s v="C0003"/>
    <x v="10"/>
    <x v="1"/>
    <x v="99"/>
    <n v="185"/>
    <x v="14"/>
    <n v="2023"/>
    <x v="0"/>
    <x v="1"/>
    <n v="5"/>
  </r>
  <r>
    <x v="370"/>
    <s v="C0013"/>
    <x v="53"/>
    <x v="2"/>
    <x v="99"/>
    <n v="130"/>
    <x v="29"/>
    <n v="2023"/>
    <x v="0"/>
    <x v="0"/>
    <n v="2"/>
  </r>
  <r>
    <x v="371"/>
    <s v="C0010"/>
    <x v="50"/>
    <x v="3"/>
    <x v="100"/>
    <n v="21"/>
    <x v="27"/>
    <n v="2023"/>
    <x v="1"/>
    <x v="0"/>
    <n v="3"/>
  </r>
  <r>
    <x v="372"/>
    <s v="C0008"/>
    <x v="90"/>
    <x v="0"/>
    <x v="100"/>
    <n v="88"/>
    <x v="12"/>
    <n v="2023"/>
    <x v="1"/>
    <x v="0"/>
    <n v="4"/>
  </r>
  <r>
    <x v="373"/>
    <s v="C0005"/>
    <x v="28"/>
    <x v="4"/>
    <x v="100"/>
    <n v="35"/>
    <x v="5"/>
    <n v="2023"/>
    <x v="1"/>
    <x v="0"/>
    <n v="4"/>
  </r>
  <r>
    <x v="374"/>
    <s v="C0008"/>
    <x v="133"/>
    <x v="1"/>
    <x v="100"/>
    <n v="68"/>
    <x v="12"/>
    <n v="2023"/>
    <x v="1"/>
    <x v="1"/>
    <n v="4"/>
  </r>
  <r>
    <x v="375"/>
    <s v="C0015"/>
    <x v="118"/>
    <x v="1"/>
    <x v="100"/>
    <n v="148"/>
    <x v="14"/>
    <n v="2023"/>
    <x v="1"/>
    <x v="1"/>
    <n v="5"/>
  </r>
  <r>
    <x v="376"/>
    <s v="C0005"/>
    <x v="117"/>
    <x v="0"/>
    <x v="101"/>
    <n v="81"/>
    <x v="18"/>
    <n v="2023"/>
    <x v="2"/>
    <x v="0"/>
    <n v="4"/>
  </r>
  <r>
    <x v="377"/>
    <s v="C0013"/>
    <x v="91"/>
    <x v="0"/>
    <x v="101"/>
    <n v="75"/>
    <x v="10"/>
    <n v="2023"/>
    <x v="2"/>
    <x v="4"/>
    <n v="4"/>
  </r>
  <r>
    <x v="378"/>
    <s v="C0009"/>
    <x v="53"/>
    <x v="2"/>
    <x v="102"/>
    <n v="32"/>
    <x v="6"/>
    <n v="2023"/>
    <x v="3"/>
    <x v="0"/>
    <n v="4"/>
  </r>
  <r>
    <x v="379"/>
    <s v="C0001"/>
    <x v="99"/>
    <x v="2"/>
    <x v="102"/>
    <n v="156"/>
    <x v="11"/>
    <n v="2023"/>
    <x v="3"/>
    <x v="0"/>
    <n v="4"/>
  </r>
  <r>
    <x v="380"/>
    <s v="C0004"/>
    <x v="31"/>
    <x v="1"/>
    <x v="102"/>
    <n v="99"/>
    <x v="0"/>
    <n v="2023"/>
    <x v="3"/>
    <x v="0"/>
    <n v="5"/>
  </r>
  <r>
    <x v="381"/>
    <s v="C0003"/>
    <x v="134"/>
    <x v="4"/>
    <x v="102"/>
    <n v="26"/>
    <x v="9"/>
    <n v="2023"/>
    <x v="3"/>
    <x v="0"/>
    <n v="4"/>
  </r>
  <r>
    <x v="382"/>
    <s v="C0011"/>
    <x v="68"/>
    <x v="2"/>
    <x v="102"/>
    <n v="84"/>
    <x v="17"/>
    <n v="2023"/>
    <x v="3"/>
    <x v="2"/>
    <n v="4"/>
  </r>
  <r>
    <x v="383"/>
    <s v="C0014"/>
    <x v="73"/>
    <x v="4"/>
    <x v="102"/>
    <n v="84"/>
    <x v="4"/>
    <n v="2023"/>
    <x v="3"/>
    <x v="2"/>
    <n v="5"/>
  </r>
  <r>
    <x v="384"/>
    <s v="C0006"/>
    <x v="90"/>
    <x v="1"/>
    <x v="102"/>
    <n v="170"/>
    <x v="24"/>
    <n v="2023"/>
    <x v="3"/>
    <x v="0"/>
    <n v="2"/>
  </r>
  <r>
    <x v="385"/>
    <s v="C0008"/>
    <x v="63"/>
    <x v="2"/>
    <x v="102"/>
    <n v="35"/>
    <x v="5"/>
    <n v="2023"/>
    <x v="3"/>
    <x v="0"/>
    <n v="4"/>
  </r>
  <r>
    <x v="386"/>
    <s v="C0010"/>
    <x v="117"/>
    <x v="2"/>
    <x v="103"/>
    <n v="35"/>
    <x v="11"/>
    <n v="2023"/>
    <x v="4"/>
    <x v="0"/>
    <n v="4"/>
  </r>
  <r>
    <x v="387"/>
    <s v="C0015"/>
    <x v="0"/>
    <x v="2"/>
    <x v="103"/>
    <n v="132"/>
    <x v="13"/>
    <n v="2023"/>
    <x v="4"/>
    <x v="0"/>
    <n v="5"/>
  </r>
  <r>
    <x v="388"/>
    <s v="C0004"/>
    <x v="25"/>
    <x v="0"/>
    <x v="104"/>
    <n v="144"/>
    <x v="16"/>
    <n v="2023"/>
    <x v="5"/>
    <x v="0"/>
    <n v="3"/>
  </r>
  <r>
    <x v="389"/>
    <s v="C0008"/>
    <x v="15"/>
    <x v="1"/>
    <x v="104"/>
    <n v="48"/>
    <x v="13"/>
    <n v="2023"/>
    <x v="5"/>
    <x v="0"/>
    <n v="5"/>
  </r>
  <r>
    <x v="390"/>
    <s v="C0008"/>
    <x v="71"/>
    <x v="0"/>
    <x v="104"/>
    <n v="200"/>
    <x v="24"/>
    <n v="2023"/>
    <x v="5"/>
    <x v="2"/>
    <n v="2"/>
  </r>
  <r>
    <x v="391"/>
    <s v="C0006"/>
    <x v="84"/>
    <x v="4"/>
    <x v="104"/>
    <n v="38"/>
    <x v="4"/>
    <n v="2023"/>
    <x v="5"/>
    <x v="0"/>
    <n v="5"/>
  </r>
  <r>
    <x v="392"/>
    <s v="C0015"/>
    <x v="125"/>
    <x v="3"/>
    <x v="104"/>
    <n v="81"/>
    <x v="20"/>
    <n v="2023"/>
    <x v="5"/>
    <x v="2"/>
    <n v="4"/>
  </r>
  <r>
    <x v="393"/>
    <s v="C0004"/>
    <x v="114"/>
    <x v="2"/>
    <x v="104"/>
    <n v="120"/>
    <x v="18"/>
    <n v="2023"/>
    <x v="5"/>
    <x v="1"/>
    <n v="4"/>
  </r>
  <r>
    <x v="394"/>
    <s v="C0002"/>
    <x v="135"/>
    <x v="4"/>
    <x v="104"/>
    <n v="74"/>
    <x v="4"/>
    <n v="2023"/>
    <x v="5"/>
    <x v="3"/>
    <n v="5"/>
  </r>
  <r>
    <x v="395"/>
    <s v="C0004"/>
    <x v="62"/>
    <x v="2"/>
    <x v="105"/>
    <n v="128"/>
    <x v="2"/>
    <n v="2023"/>
    <x v="6"/>
    <x v="2"/>
    <n v="5"/>
  </r>
  <r>
    <x v="396"/>
    <s v="C0014"/>
    <x v="48"/>
    <x v="1"/>
    <x v="105"/>
    <n v="21"/>
    <x v="10"/>
    <n v="2023"/>
    <x v="6"/>
    <x v="0"/>
    <n v="4"/>
  </r>
  <r>
    <x v="397"/>
    <s v="C0008"/>
    <x v="93"/>
    <x v="2"/>
    <x v="105"/>
    <n v="110"/>
    <x v="12"/>
    <n v="2023"/>
    <x v="6"/>
    <x v="2"/>
    <n v="4"/>
  </r>
  <r>
    <x v="398"/>
    <s v="C0004"/>
    <x v="97"/>
    <x v="2"/>
    <x v="105"/>
    <n v="145"/>
    <x v="9"/>
    <n v="2023"/>
    <x v="6"/>
    <x v="0"/>
    <n v="4"/>
  </r>
  <r>
    <x v="399"/>
    <s v="C0008"/>
    <x v="34"/>
    <x v="3"/>
    <x v="105"/>
    <n v="129"/>
    <x v="9"/>
    <n v="2023"/>
    <x v="6"/>
    <x v="0"/>
    <n v="4"/>
  </r>
  <r>
    <x v="400"/>
    <s v="C0010"/>
    <x v="5"/>
    <x v="0"/>
    <x v="105"/>
    <n v="156"/>
    <x v="23"/>
    <n v="2023"/>
    <x v="6"/>
    <x v="0"/>
    <n v="3"/>
  </r>
  <r>
    <x v="401"/>
    <s v="C0002"/>
    <x v="49"/>
    <x v="2"/>
    <x v="106"/>
    <n v="120"/>
    <x v="11"/>
    <n v="2023"/>
    <x v="0"/>
    <x v="1"/>
    <n v="4"/>
  </r>
  <r>
    <x v="402"/>
    <s v="C0014"/>
    <x v="136"/>
    <x v="3"/>
    <x v="106"/>
    <n v="62"/>
    <x v="7"/>
    <n v="2023"/>
    <x v="0"/>
    <x v="1"/>
    <n v="3"/>
  </r>
  <r>
    <x v="403"/>
    <s v="C0009"/>
    <x v="76"/>
    <x v="2"/>
    <x v="106"/>
    <n v="160"/>
    <x v="23"/>
    <n v="2023"/>
    <x v="0"/>
    <x v="1"/>
    <n v="3"/>
  </r>
  <r>
    <x v="404"/>
    <s v="C0004"/>
    <x v="54"/>
    <x v="2"/>
    <x v="106"/>
    <n v="56"/>
    <x v="2"/>
    <n v="2023"/>
    <x v="0"/>
    <x v="2"/>
    <n v="5"/>
  </r>
  <r>
    <x v="405"/>
    <s v="C0007"/>
    <x v="117"/>
    <x v="4"/>
    <x v="106"/>
    <n v="72"/>
    <x v="9"/>
    <n v="2023"/>
    <x v="0"/>
    <x v="0"/>
    <n v="4"/>
  </r>
  <r>
    <x v="406"/>
    <s v="C0004"/>
    <x v="12"/>
    <x v="1"/>
    <x v="107"/>
    <n v="81"/>
    <x v="4"/>
    <n v="2023"/>
    <x v="1"/>
    <x v="1"/>
    <n v="5"/>
  </r>
  <r>
    <x v="407"/>
    <s v="C0014"/>
    <x v="75"/>
    <x v="2"/>
    <x v="107"/>
    <n v="144"/>
    <x v="10"/>
    <n v="2023"/>
    <x v="1"/>
    <x v="0"/>
    <n v="4"/>
  </r>
  <r>
    <x v="408"/>
    <s v="C0005"/>
    <x v="86"/>
    <x v="1"/>
    <x v="107"/>
    <n v="111"/>
    <x v="12"/>
    <n v="2023"/>
    <x v="1"/>
    <x v="0"/>
    <n v="4"/>
  </r>
  <r>
    <x v="409"/>
    <s v="C0008"/>
    <x v="137"/>
    <x v="3"/>
    <x v="107"/>
    <n v="43"/>
    <x v="18"/>
    <n v="2023"/>
    <x v="1"/>
    <x v="3"/>
    <n v="4"/>
  </r>
  <r>
    <x v="410"/>
    <s v="C0010"/>
    <x v="37"/>
    <x v="4"/>
    <x v="107"/>
    <n v="41"/>
    <x v="0"/>
    <n v="2023"/>
    <x v="1"/>
    <x v="1"/>
    <n v="5"/>
  </r>
  <r>
    <x v="411"/>
    <s v="C0005"/>
    <x v="80"/>
    <x v="4"/>
    <x v="107"/>
    <n v="74"/>
    <x v="9"/>
    <n v="2023"/>
    <x v="1"/>
    <x v="3"/>
    <n v="4"/>
  </r>
  <r>
    <x v="412"/>
    <s v="C0012"/>
    <x v="29"/>
    <x v="2"/>
    <x v="107"/>
    <n v="43"/>
    <x v="0"/>
    <n v="2023"/>
    <x v="1"/>
    <x v="0"/>
    <n v="5"/>
  </r>
  <r>
    <x v="413"/>
    <s v="C0006"/>
    <x v="114"/>
    <x v="4"/>
    <x v="107"/>
    <n v="128"/>
    <x v="6"/>
    <n v="2023"/>
    <x v="1"/>
    <x v="1"/>
    <n v="4"/>
  </r>
  <r>
    <x v="414"/>
    <s v="C0003"/>
    <x v="92"/>
    <x v="4"/>
    <x v="108"/>
    <n v="144"/>
    <x v="17"/>
    <n v="2023"/>
    <x v="2"/>
    <x v="1"/>
    <n v="4"/>
  </r>
  <r>
    <x v="415"/>
    <s v="C0012"/>
    <x v="55"/>
    <x v="1"/>
    <x v="108"/>
    <n v="132"/>
    <x v="0"/>
    <n v="2023"/>
    <x v="2"/>
    <x v="1"/>
    <n v="5"/>
  </r>
  <r>
    <x v="416"/>
    <s v="C0005"/>
    <x v="130"/>
    <x v="1"/>
    <x v="108"/>
    <n v="180"/>
    <x v="10"/>
    <n v="2023"/>
    <x v="2"/>
    <x v="0"/>
    <n v="4"/>
  </r>
  <r>
    <x v="417"/>
    <s v="C0011"/>
    <x v="138"/>
    <x v="1"/>
    <x v="108"/>
    <n v="31"/>
    <x v="17"/>
    <n v="2023"/>
    <x v="2"/>
    <x v="3"/>
    <n v="4"/>
  </r>
  <r>
    <x v="418"/>
    <s v="C0005"/>
    <x v="131"/>
    <x v="1"/>
    <x v="108"/>
    <n v="102"/>
    <x v="11"/>
    <n v="2023"/>
    <x v="2"/>
    <x v="0"/>
    <n v="4"/>
  </r>
  <r>
    <x v="419"/>
    <s v="C0007"/>
    <x v="116"/>
    <x v="2"/>
    <x v="109"/>
    <n v="175"/>
    <x v="4"/>
    <n v="2023"/>
    <x v="3"/>
    <x v="1"/>
    <n v="5"/>
  </r>
  <r>
    <x v="420"/>
    <s v="C0012"/>
    <x v="137"/>
    <x v="0"/>
    <x v="109"/>
    <n v="87"/>
    <x v="2"/>
    <n v="2023"/>
    <x v="3"/>
    <x v="3"/>
    <n v="5"/>
  </r>
  <r>
    <x v="421"/>
    <s v="C0002"/>
    <x v="28"/>
    <x v="2"/>
    <x v="109"/>
    <n v="66"/>
    <x v="18"/>
    <n v="2023"/>
    <x v="3"/>
    <x v="0"/>
    <n v="4"/>
  </r>
  <r>
    <x v="422"/>
    <s v="C0002"/>
    <x v="7"/>
    <x v="2"/>
    <x v="109"/>
    <n v="25"/>
    <x v="23"/>
    <n v="2023"/>
    <x v="3"/>
    <x v="2"/>
    <n v="3"/>
  </r>
  <r>
    <x v="423"/>
    <s v="C0005"/>
    <x v="66"/>
    <x v="1"/>
    <x v="109"/>
    <n v="126"/>
    <x v="7"/>
    <n v="2023"/>
    <x v="3"/>
    <x v="0"/>
    <n v="3"/>
  </r>
  <r>
    <x v="424"/>
    <s v="C0003"/>
    <x v="97"/>
    <x v="3"/>
    <x v="110"/>
    <n v="42"/>
    <x v="19"/>
    <n v="2023"/>
    <x v="4"/>
    <x v="0"/>
    <n v="5"/>
  </r>
  <r>
    <x v="425"/>
    <s v="C0007"/>
    <x v="58"/>
    <x v="0"/>
    <x v="110"/>
    <n v="225"/>
    <x v="29"/>
    <n v="2023"/>
    <x v="4"/>
    <x v="0"/>
    <n v="2"/>
  </r>
  <r>
    <x v="426"/>
    <s v="C0014"/>
    <x v="139"/>
    <x v="0"/>
    <x v="110"/>
    <n v="42"/>
    <x v="16"/>
    <n v="2023"/>
    <x v="4"/>
    <x v="1"/>
    <n v="3"/>
  </r>
  <r>
    <x v="427"/>
    <s v="C0005"/>
    <x v="61"/>
    <x v="3"/>
    <x v="111"/>
    <n v="110"/>
    <x v="22"/>
    <n v="2023"/>
    <x v="5"/>
    <x v="1"/>
    <n v="3"/>
  </r>
  <r>
    <x v="428"/>
    <s v="C0006"/>
    <x v="125"/>
    <x v="1"/>
    <x v="111"/>
    <n v="225"/>
    <x v="4"/>
    <n v="2023"/>
    <x v="5"/>
    <x v="2"/>
    <n v="5"/>
  </r>
  <r>
    <x v="429"/>
    <s v="C0002"/>
    <x v="10"/>
    <x v="4"/>
    <x v="112"/>
    <n v="125"/>
    <x v="16"/>
    <n v="2023"/>
    <x v="6"/>
    <x v="1"/>
    <n v="3"/>
  </r>
  <r>
    <x v="430"/>
    <s v="C0007"/>
    <x v="22"/>
    <x v="1"/>
    <x v="112"/>
    <n v="78"/>
    <x v="1"/>
    <n v="2023"/>
    <x v="6"/>
    <x v="0"/>
    <n v="3"/>
  </r>
  <r>
    <x v="431"/>
    <s v="C0007"/>
    <x v="22"/>
    <x v="3"/>
    <x v="112"/>
    <n v="40"/>
    <x v="21"/>
    <n v="2023"/>
    <x v="6"/>
    <x v="0"/>
    <n v="2"/>
  </r>
  <r>
    <x v="432"/>
    <s v="C0009"/>
    <x v="107"/>
    <x v="2"/>
    <x v="112"/>
    <n v="150"/>
    <x v="19"/>
    <n v="2023"/>
    <x v="6"/>
    <x v="0"/>
    <n v="5"/>
  </r>
  <r>
    <x v="433"/>
    <s v="C0005"/>
    <x v="140"/>
    <x v="1"/>
    <x v="112"/>
    <n v="96"/>
    <x v="4"/>
    <n v="2023"/>
    <x v="6"/>
    <x v="3"/>
    <n v="5"/>
  </r>
  <r>
    <x v="434"/>
    <s v="C0002"/>
    <x v="48"/>
    <x v="3"/>
    <x v="113"/>
    <n v="75"/>
    <x v="4"/>
    <n v="2023"/>
    <x v="0"/>
    <x v="0"/>
    <n v="5"/>
  </r>
  <r>
    <x v="435"/>
    <s v="C0009"/>
    <x v="22"/>
    <x v="3"/>
    <x v="113"/>
    <n v="60"/>
    <x v="6"/>
    <n v="2023"/>
    <x v="0"/>
    <x v="0"/>
    <n v="4"/>
  </r>
  <r>
    <x v="436"/>
    <s v="C0008"/>
    <x v="73"/>
    <x v="1"/>
    <x v="114"/>
    <n v="41"/>
    <x v="4"/>
    <n v="2023"/>
    <x v="1"/>
    <x v="2"/>
    <n v="5"/>
  </r>
  <r>
    <x v="437"/>
    <s v="C0013"/>
    <x v="65"/>
    <x v="2"/>
    <x v="114"/>
    <n v="20"/>
    <x v="18"/>
    <n v="2023"/>
    <x v="1"/>
    <x v="1"/>
    <n v="4"/>
  </r>
  <r>
    <x v="438"/>
    <s v="C0004"/>
    <x v="141"/>
    <x v="4"/>
    <x v="114"/>
    <n v="84"/>
    <x v="27"/>
    <n v="2023"/>
    <x v="1"/>
    <x v="0"/>
    <n v="3"/>
  </r>
  <r>
    <x v="439"/>
    <s v="C0002"/>
    <x v="77"/>
    <x v="0"/>
    <x v="114"/>
    <n v="140"/>
    <x v="20"/>
    <n v="2023"/>
    <x v="1"/>
    <x v="0"/>
    <n v="4"/>
  </r>
  <r>
    <x v="440"/>
    <s v="C0015"/>
    <x v="21"/>
    <x v="1"/>
    <x v="114"/>
    <n v="66"/>
    <x v="4"/>
    <n v="2023"/>
    <x v="1"/>
    <x v="0"/>
    <n v="5"/>
  </r>
  <r>
    <x v="441"/>
    <s v="C0010"/>
    <x v="1"/>
    <x v="2"/>
    <x v="114"/>
    <n v="105"/>
    <x v="2"/>
    <n v="2023"/>
    <x v="1"/>
    <x v="0"/>
    <n v="5"/>
  </r>
  <r>
    <x v="442"/>
    <s v="C0003"/>
    <x v="10"/>
    <x v="3"/>
    <x v="115"/>
    <n v="104"/>
    <x v="17"/>
    <n v="2023"/>
    <x v="2"/>
    <x v="1"/>
    <n v="4"/>
  </r>
  <r>
    <x v="443"/>
    <s v="C0013"/>
    <x v="103"/>
    <x v="4"/>
    <x v="115"/>
    <n v="123"/>
    <x v="23"/>
    <n v="2023"/>
    <x v="2"/>
    <x v="2"/>
    <n v="3"/>
  </r>
  <r>
    <x v="444"/>
    <s v="C0005"/>
    <x v="142"/>
    <x v="3"/>
    <x v="116"/>
    <n v="215"/>
    <x v="12"/>
    <n v="2023"/>
    <x v="3"/>
    <x v="2"/>
    <n v="4"/>
  </r>
  <r>
    <x v="445"/>
    <s v="C0003"/>
    <x v="74"/>
    <x v="1"/>
    <x v="116"/>
    <n v="46"/>
    <x v="36"/>
    <n v="2023"/>
    <x v="3"/>
    <x v="0"/>
    <n v="1"/>
  </r>
  <r>
    <x v="446"/>
    <s v="C0009"/>
    <x v="84"/>
    <x v="4"/>
    <x v="116"/>
    <n v="115"/>
    <x v="20"/>
    <n v="2023"/>
    <x v="3"/>
    <x v="0"/>
    <n v="4"/>
  </r>
  <r>
    <x v="447"/>
    <s v="C0003"/>
    <x v="129"/>
    <x v="4"/>
    <x v="116"/>
    <n v="124"/>
    <x v="10"/>
    <n v="2023"/>
    <x v="3"/>
    <x v="0"/>
    <n v="4"/>
  </r>
  <r>
    <x v="448"/>
    <s v="C0001"/>
    <x v="78"/>
    <x v="4"/>
    <x v="117"/>
    <n v="205"/>
    <x v="14"/>
    <n v="2023"/>
    <x v="4"/>
    <x v="3"/>
    <n v="5"/>
  </r>
  <r>
    <x v="449"/>
    <s v="C0008"/>
    <x v="75"/>
    <x v="2"/>
    <x v="117"/>
    <n v="90"/>
    <x v="3"/>
    <n v="2023"/>
    <x v="4"/>
    <x v="0"/>
    <n v="3"/>
  </r>
  <r>
    <x v="450"/>
    <s v="C0009"/>
    <x v="22"/>
    <x v="1"/>
    <x v="117"/>
    <n v="92"/>
    <x v="0"/>
    <n v="2023"/>
    <x v="4"/>
    <x v="0"/>
    <n v="5"/>
  </r>
  <r>
    <x v="451"/>
    <s v="C0002"/>
    <x v="101"/>
    <x v="3"/>
    <x v="118"/>
    <n v="108"/>
    <x v="18"/>
    <n v="2023"/>
    <x v="6"/>
    <x v="2"/>
    <n v="4"/>
  </r>
  <r>
    <x v="452"/>
    <s v="C0008"/>
    <x v="70"/>
    <x v="3"/>
    <x v="118"/>
    <n v="54"/>
    <x v="5"/>
    <n v="2023"/>
    <x v="6"/>
    <x v="1"/>
    <n v="4"/>
  </r>
  <r>
    <x v="453"/>
    <s v="C0002"/>
    <x v="95"/>
    <x v="3"/>
    <x v="119"/>
    <n v="44"/>
    <x v="8"/>
    <n v="2023"/>
    <x v="0"/>
    <x v="0"/>
    <n v="4"/>
  </r>
  <r>
    <x v="454"/>
    <s v="C0015"/>
    <x v="65"/>
    <x v="3"/>
    <x v="119"/>
    <n v="44"/>
    <x v="2"/>
    <n v="2023"/>
    <x v="0"/>
    <x v="1"/>
    <n v="5"/>
  </r>
  <r>
    <x v="455"/>
    <s v="C0003"/>
    <x v="143"/>
    <x v="1"/>
    <x v="120"/>
    <n v="37"/>
    <x v="0"/>
    <n v="2023"/>
    <x v="1"/>
    <x v="2"/>
    <n v="5"/>
  </r>
  <r>
    <x v="456"/>
    <s v="C0004"/>
    <x v="7"/>
    <x v="2"/>
    <x v="120"/>
    <n v="180"/>
    <x v="14"/>
    <n v="2023"/>
    <x v="1"/>
    <x v="2"/>
    <n v="5"/>
  </r>
  <r>
    <x v="457"/>
    <s v="C0003"/>
    <x v="59"/>
    <x v="4"/>
    <x v="120"/>
    <n v="105"/>
    <x v="0"/>
    <n v="2023"/>
    <x v="1"/>
    <x v="0"/>
    <n v="5"/>
  </r>
  <r>
    <x v="458"/>
    <s v="C0015"/>
    <x v="21"/>
    <x v="0"/>
    <x v="120"/>
    <n v="87"/>
    <x v="6"/>
    <n v="2023"/>
    <x v="1"/>
    <x v="0"/>
    <n v="4"/>
  </r>
  <r>
    <x v="459"/>
    <s v="C0009"/>
    <x v="128"/>
    <x v="2"/>
    <x v="120"/>
    <n v="52"/>
    <x v="11"/>
    <n v="2023"/>
    <x v="1"/>
    <x v="3"/>
    <n v="4"/>
  </r>
  <r>
    <x v="460"/>
    <s v="C0011"/>
    <x v="8"/>
    <x v="4"/>
    <x v="120"/>
    <n v="63"/>
    <x v="8"/>
    <n v="2023"/>
    <x v="1"/>
    <x v="2"/>
    <n v="4"/>
  </r>
  <r>
    <x v="461"/>
    <s v="C0006"/>
    <x v="144"/>
    <x v="1"/>
    <x v="121"/>
    <n v="195"/>
    <x v="4"/>
    <n v="2023"/>
    <x v="2"/>
    <x v="2"/>
    <n v="5"/>
  </r>
  <r>
    <x v="462"/>
    <s v="C0008"/>
    <x v="34"/>
    <x v="3"/>
    <x v="122"/>
    <n v="176"/>
    <x v="14"/>
    <n v="2023"/>
    <x v="3"/>
    <x v="0"/>
    <n v="5"/>
  </r>
  <r>
    <x v="463"/>
    <s v="C0010"/>
    <x v="17"/>
    <x v="2"/>
    <x v="123"/>
    <n v="31"/>
    <x v="16"/>
    <n v="2023"/>
    <x v="4"/>
    <x v="2"/>
    <n v="3"/>
  </r>
  <r>
    <x v="464"/>
    <s v="C0005"/>
    <x v="128"/>
    <x v="2"/>
    <x v="124"/>
    <n v="27"/>
    <x v="23"/>
    <n v="2023"/>
    <x v="5"/>
    <x v="3"/>
    <n v="3"/>
  </r>
  <r>
    <x v="465"/>
    <s v="C0013"/>
    <x v="129"/>
    <x v="3"/>
    <x v="124"/>
    <n v="76"/>
    <x v="0"/>
    <n v="2023"/>
    <x v="5"/>
    <x v="0"/>
    <n v="5"/>
  </r>
  <r>
    <x v="466"/>
    <s v="C0011"/>
    <x v="111"/>
    <x v="4"/>
    <x v="124"/>
    <n v="62"/>
    <x v="4"/>
    <n v="2023"/>
    <x v="5"/>
    <x v="1"/>
    <n v="5"/>
  </r>
  <r>
    <x v="467"/>
    <s v="C0013"/>
    <x v="22"/>
    <x v="1"/>
    <x v="125"/>
    <n v="100"/>
    <x v="40"/>
    <n v="2023"/>
    <x v="0"/>
    <x v="0"/>
    <n v="1"/>
  </r>
  <r>
    <x v="468"/>
    <s v="C0001"/>
    <x v="102"/>
    <x v="2"/>
    <x v="125"/>
    <n v="44"/>
    <x v="22"/>
    <n v="2023"/>
    <x v="0"/>
    <x v="0"/>
    <n v="3"/>
  </r>
  <r>
    <x v="469"/>
    <s v="C0005"/>
    <x v="86"/>
    <x v="3"/>
    <x v="125"/>
    <n v="168"/>
    <x v="7"/>
    <n v="2023"/>
    <x v="0"/>
    <x v="0"/>
    <n v="3"/>
  </r>
  <r>
    <x v="470"/>
    <s v="C0007"/>
    <x v="108"/>
    <x v="3"/>
    <x v="126"/>
    <n v="200"/>
    <x v="19"/>
    <n v="2023"/>
    <x v="1"/>
    <x v="2"/>
    <n v="5"/>
  </r>
  <r>
    <x v="471"/>
    <s v="C0004"/>
    <x v="85"/>
    <x v="2"/>
    <x v="126"/>
    <n v="84"/>
    <x v="12"/>
    <n v="2023"/>
    <x v="1"/>
    <x v="1"/>
    <n v="4"/>
  </r>
  <r>
    <x v="472"/>
    <s v="C0008"/>
    <x v="145"/>
    <x v="3"/>
    <x v="127"/>
    <n v="117"/>
    <x v="34"/>
    <n v="2023"/>
    <x v="2"/>
    <x v="2"/>
    <n v="3"/>
  </r>
  <r>
    <x v="473"/>
    <s v="C0006"/>
    <x v="98"/>
    <x v="1"/>
    <x v="127"/>
    <n v="63"/>
    <x v="18"/>
    <n v="2023"/>
    <x v="2"/>
    <x v="3"/>
    <n v="4"/>
  </r>
  <r>
    <x v="474"/>
    <s v="C0005"/>
    <x v="24"/>
    <x v="3"/>
    <x v="128"/>
    <n v="145"/>
    <x v="0"/>
    <n v="2023"/>
    <x v="3"/>
    <x v="0"/>
    <n v="5"/>
  </r>
  <r>
    <x v="475"/>
    <s v="C0008"/>
    <x v="12"/>
    <x v="2"/>
    <x v="128"/>
    <n v="220"/>
    <x v="23"/>
    <n v="2023"/>
    <x v="3"/>
    <x v="1"/>
    <n v="3"/>
  </r>
  <r>
    <x v="476"/>
    <s v="C0002"/>
    <x v="54"/>
    <x v="1"/>
    <x v="128"/>
    <n v="26"/>
    <x v="2"/>
    <n v="2023"/>
    <x v="3"/>
    <x v="2"/>
    <n v="5"/>
  </r>
  <r>
    <x v="477"/>
    <s v="C0005"/>
    <x v="117"/>
    <x v="3"/>
    <x v="128"/>
    <n v="78"/>
    <x v="12"/>
    <n v="2023"/>
    <x v="3"/>
    <x v="0"/>
    <n v="4"/>
  </r>
  <r>
    <x v="478"/>
    <s v="C0010"/>
    <x v="79"/>
    <x v="4"/>
    <x v="129"/>
    <n v="132"/>
    <x v="12"/>
    <n v="2023"/>
    <x v="4"/>
    <x v="3"/>
    <n v="4"/>
  </r>
  <r>
    <x v="479"/>
    <s v="C0009"/>
    <x v="38"/>
    <x v="4"/>
    <x v="130"/>
    <n v="68"/>
    <x v="20"/>
    <n v="2023"/>
    <x v="5"/>
    <x v="0"/>
    <n v="4"/>
  </r>
  <r>
    <x v="480"/>
    <s v="C0004"/>
    <x v="19"/>
    <x v="2"/>
    <x v="131"/>
    <n v="129"/>
    <x v="2"/>
    <n v="2023"/>
    <x v="0"/>
    <x v="0"/>
    <n v="5"/>
  </r>
  <r>
    <x v="481"/>
    <s v="C0012"/>
    <x v="99"/>
    <x v="4"/>
    <x v="131"/>
    <n v="115"/>
    <x v="0"/>
    <n v="2023"/>
    <x v="0"/>
    <x v="0"/>
    <n v="5"/>
  </r>
  <r>
    <x v="482"/>
    <s v="C0012"/>
    <x v="107"/>
    <x v="4"/>
    <x v="131"/>
    <n v="128"/>
    <x v="10"/>
    <n v="2023"/>
    <x v="0"/>
    <x v="0"/>
    <n v="4"/>
  </r>
  <r>
    <x v="483"/>
    <s v="C0012"/>
    <x v="146"/>
    <x v="2"/>
    <x v="131"/>
    <n v="90"/>
    <x v="14"/>
    <n v="2023"/>
    <x v="0"/>
    <x v="0"/>
    <n v="5"/>
  </r>
  <r>
    <x v="484"/>
    <s v="C0002"/>
    <x v="77"/>
    <x v="3"/>
    <x v="132"/>
    <n v="39"/>
    <x v="19"/>
    <n v="2023"/>
    <x v="1"/>
    <x v="0"/>
    <n v="5"/>
  </r>
  <r>
    <x v="485"/>
    <s v="C0010"/>
    <x v="90"/>
    <x v="4"/>
    <x v="132"/>
    <n v="132"/>
    <x v="16"/>
    <n v="2023"/>
    <x v="1"/>
    <x v="0"/>
    <n v="3"/>
  </r>
  <r>
    <x v="486"/>
    <s v="C0011"/>
    <x v="147"/>
    <x v="4"/>
    <x v="132"/>
    <n v="170"/>
    <x v="11"/>
    <n v="2023"/>
    <x v="1"/>
    <x v="2"/>
    <n v="4"/>
  </r>
  <r>
    <x v="487"/>
    <s v="C0012"/>
    <x v="86"/>
    <x v="2"/>
    <x v="132"/>
    <n v="42"/>
    <x v="2"/>
    <n v="2023"/>
    <x v="1"/>
    <x v="0"/>
    <n v="5"/>
  </r>
  <r>
    <x v="488"/>
    <s v="C0014"/>
    <x v="23"/>
    <x v="3"/>
    <x v="133"/>
    <n v="37"/>
    <x v="9"/>
    <n v="2023"/>
    <x v="2"/>
    <x v="1"/>
    <n v="4"/>
  </r>
  <r>
    <x v="489"/>
    <s v="C0004"/>
    <x v="146"/>
    <x v="3"/>
    <x v="133"/>
    <n v="88"/>
    <x v="2"/>
    <n v="2023"/>
    <x v="2"/>
    <x v="0"/>
    <n v="5"/>
  </r>
  <r>
    <x v="490"/>
    <s v="C0008"/>
    <x v="47"/>
    <x v="3"/>
    <x v="133"/>
    <n v="80"/>
    <x v="25"/>
    <n v="2023"/>
    <x v="2"/>
    <x v="0"/>
    <n v="3"/>
  </r>
  <r>
    <x v="491"/>
    <s v="C0010"/>
    <x v="44"/>
    <x v="0"/>
    <x v="134"/>
    <n v="123"/>
    <x v="6"/>
    <n v="2023"/>
    <x v="3"/>
    <x v="2"/>
    <n v="4"/>
  </r>
  <r>
    <x v="492"/>
    <s v="C0006"/>
    <x v="122"/>
    <x v="4"/>
    <x v="134"/>
    <n v="31"/>
    <x v="20"/>
    <n v="2023"/>
    <x v="3"/>
    <x v="1"/>
    <n v="4"/>
  </r>
  <r>
    <x v="493"/>
    <s v="C0001"/>
    <x v="58"/>
    <x v="1"/>
    <x v="134"/>
    <n v="205"/>
    <x v="10"/>
    <n v="2023"/>
    <x v="3"/>
    <x v="0"/>
    <n v="4"/>
  </r>
  <r>
    <x v="494"/>
    <s v="C0013"/>
    <x v="89"/>
    <x v="3"/>
    <x v="135"/>
    <n v="123"/>
    <x v="20"/>
    <n v="2023"/>
    <x v="4"/>
    <x v="1"/>
    <n v="4"/>
  </r>
  <r>
    <x v="495"/>
    <s v="C0011"/>
    <x v="148"/>
    <x v="4"/>
    <x v="135"/>
    <n v="123"/>
    <x v="12"/>
    <n v="2023"/>
    <x v="4"/>
    <x v="1"/>
    <n v="4"/>
  </r>
  <r>
    <x v="496"/>
    <s v="C0008"/>
    <x v="149"/>
    <x v="4"/>
    <x v="135"/>
    <n v="36"/>
    <x v="1"/>
    <n v="2023"/>
    <x v="4"/>
    <x v="1"/>
    <n v="3"/>
  </r>
  <r>
    <x v="497"/>
    <s v="C0013"/>
    <x v="22"/>
    <x v="4"/>
    <x v="135"/>
    <n v="116"/>
    <x v="12"/>
    <n v="2023"/>
    <x v="4"/>
    <x v="0"/>
    <n v="4"/>
  </r>
  <r>
    <x v="498"/>
    <s v="C0009"/>
    <x v="86"/>
    <x v="4"/>
    <x v="135"/>
    <n v="40"/>
    <x v="0"/>
    <n v="2023"/>
    <x v="4"/>
    <x v="0"/>
    <n v="5"/>
  </r>
  <r>
    <x v="499"/>
    <s v="C0009"/>
    <x v="146"/>
    <x v="3"/>
    <x v="135"/>
    <n v="40"/>
    <x v="9"/>
    <n v="2023"/>
    <x v="4"/>
    <x v="0"/>
    <n v="4"/>
  </r>
  <r>
    <x v="500"/>
    <s v="C0001"/>
    <x v="50"/>
    <x v="2"/>
    <x v="136"/>
    <n v="82"/>
    <x v="9"/>
    <n v="2023"/>
    <x v="5"/>
    <x v="0"/>
    <n v="4"/>
  </r>
  <r>
    <x v="501"/>
    <s v="C0002"/>
    <x v="6"/>
    <x v="0"/>
    <x v="136"/>
    <n v="62"/>
    <x v="7"/>
    <n v="2023"/>
    <x v="5"/>
    <x v="0"/>
    <n v="3"/>
  </r>
  <r>
    <x v="502"/>
    <s v="C0014"/>
    <x v="64"/>
    <x v="0"/>
    <x v="136"/>
    <n v="135"/>
    <x v="10"/>
    <n v="2023"/>
    <x v="5"/>
    <x v="2"/>
    <n v="4"/>
  </r>
  <r>
    <x v="503"/>
    <s v="C0001"/>
    <x v="50"/>
    <x v="1"/>
    <x v="136"/>
    <n v="155"/>
    <x v="15"/>
    <n v="2023"/>
    <x v="5"/>
    <x v="0"/>
    <n v="2"/>
  </r>
  <r>
    <x v="504"/>
    <s v="C0010"/>
    <x v="62"/>
    <x v="2"/>
    <x v="136"/>
    <n v="37"/>
    <x v="0"/>
    <n v="2023"/>
    <x v="5"/>
    <x v="2"/>
    <n v="5"/>
  </r>
  <r>
    <x v="505"/>
    <s v="C0001"/>
    <x v="38"/>
    <x v="3"/>
    <x v="137"/>
    <n v="56"/>
    <x v="7"/>
    <n v="2023"/>
    <x v="6"/>
    <x v="0"/>
    <n v="3"/>
  </r>
  <r>
    <x v="506"/>
    <s v="C0001"/>
    <x v="58"/>
    <x v="3"/>
    <x v="137"/>
    <n v="185"/>
    <x v="13"/>
    <n v="2023"/>
    <x v="6"/>
    <x v="0"/>
    <n v="5"/>
  </r>
  <r>
    <x v="507"/>
    <s v="C0003"/>
    <x v="71"/>
    <x v="2"/>
    <x v="138"/>
    <n v="145"/>
    <x v="14"/>
    <n v="2023"/>
    <x v="0"/>
    <x v="2"/>
    <n v="5"/>
  </r>
  <r>
    <x v="508"/>
    <s v="C0013"/>
    <x v="101"/>
    <x v="0"/>
    <x v="138"/>
    <n v="116"/>
    <x v="27"/>
    <n v="2023"/>
    <x v="0"/>
    <x v="2"/>
    <n v="3"/>
  </r>
  <r>
    <x v="509"/>
    <s v="C0010"/>
    <x v="150"/>
    <x v="4"/>
    <x v="138"/>
    <n v="45"/>
    <x v="18"/>
    <n v="2023"/>
    <x v="0"/>
    <x v="1"/>
    <n v="4"/>
  </r>
  <r>
    <x v="510"/>
    <s v="C0011"/>
    <x v="11"/>
    <x v="3"/>
    <x v="139"/>
    <n v="35"/>
    <x v="14"/>
    <n v="2023"/>
    <x v="1"/>
    <x v="0"/>
    <n v="5"/>
  </r>
  <r>
    <x v="511"/>
    <s v="C0009"/>
    <x v="50"/>
    <x v="0"/>
    <x v="139"/>
    <n v="100"/>
    <x v="5"/>
    <n v="2023"/>
    <x v="1"/>
    <x v="0"/>
    <n v="4"/>
  </r>
  <r>
    <x v="512"/>
    <s v="C0009"/>
    <x v="63"/>
    <x v="2"/>
    <x v="140"/>
    <n v="125"/>
    <x v="8"/>
    <n v="2023"/>
    <x v="2"/>
    <x v="0"/>
    <n v="4"/>
  </r>
  <r>
    <x v="513"/>
    <s v="C0010"/>
    <x v="104"/>
    <x v="4"/>
    <x v="140"/>
    <n v="120"/>
    <x v="35"/>
    <n v="2023"/>
    <x v="2"/>
    <x v="1"/>
    <n v="3"/>
  </r>
  <r>
    <x v="514"/>
    <s v="C0015"/>
    <x v="30"/>
    <x v="1"/>
    <x v="140"/>
    <n v="180"/>
    <x v="2"/>
    <n v="2023"/>
    <x v="2"/>
    <x v="0"/>
    <n v="5"/>
  </r>
  <r>
    <x v="515"/>
    <s v="C0007"/>
    <x v="47"/>
    <x v="0"/>
    <x v="140"/>
    <n v="44"/>
    <x v="35"/>
    <n v="2023"/>
    <x v="2"/>
    <x v="0"/>
    <n v="3"/>
  </r>
  <r>
    <x v="516"/>
    <s v="C0006"/>
    <x v="48"/>
    <x v="4"/>
    <x v="140"/>
    <n v="86"/>
    <x v="6"/>
    <n v="2023"/>
    <x v="2"/>
    <x v="0"/>
    <n v="4"/>
  </r>
  <r>
    <x v="517"/>
    <s v="C0010"/>
    <x v="32"/>
    <x v="4"/>
    <x v="141"/>
    <n v="120"/>
    <x v="17"/>
    <n v="2023"/>
    <x v="3"/>
    <x v="0"/>
    <n v="4"/>
  </r>
  <r>
    <x v="518"/>
    <s v="C0014"/>
    <x v="30"/>
    <x v="1"/>
    <x v="141"/>
    <n v="100"/>
    <x v="20"/>
    <n v="2023"/>
    <x v="3"/>
    <x v="0"/>
    <n v="4"/>
  </r>
  <r>
    <x v="519"/>
    <s v="C0014"/>
    <x v="145"/>
    <x v="1"/>
    <x v="142"/>
    <n v="108"/>
    <x v="14"/>
    <n v="2023"/>
    <x v="4"/>
    <x v="2"/>
    <n v="5"/>
  </r>
  <r>
    <x v="520"/>
    <s v="C0008"/>
    <x v="121"/>
    <x v="1"/>
    <x v="142"/>
    <n v="46"/>
    <x v="19"/>
    <n v="2023"/>
    <x v="4"/>
    <x v="2"/>
    <n v="5"/>
  </r>
  <r>
    <x v="521"/>
    <s v="C0013"/>
    <x v="75"/>
    <x v="4"/>
    <x v="142"/>
    <n v="210"/>
    <x v="12"/>
    <n v="2023"/>
    <x v="4"/>
    <x v="0"/>
    <n v="4"/>
  </r>
  <r>
    <x v="522"/>
    <s v="C0012"/>
    <x v="56"/>
    <x v="2"/>
    <x v="143"/>
    <n v="54"/>
    <x v="4"/>
    <n v="2023"/>
    <x v="6"/>
    <x v="1"/>
    <n v="5"/>
  </r>
  <r>
    <x v="523"/>
    <s v="C0007"/>
    <x v="52"/>
    <x v="4"/>
    <x v="143"/>
    <n v="115"/>
    <x v="2"/>
    <n v="2023"/>
    <x v="6"/>
    <x v="1"/>
    <n v="5"/>
  </r>
  <r>
    <x v="524"/>
    <s v="C0015"/>
    <x v="4"/>
    <x v="1"/>
    <x v="144"/>
    <n v="100"/>
    <x v="30"/>
    <n v="2023"/>
    <x v="0"/>
    <x v="2"/>
    <n v="2"/>
  </r>
  <r>
    <x v="525"/>
    <s v="C0005"/>
    <x v="29"/>
    <x v="4"/>
    <x v="144"/>
    <n v="38"/>
    <x v="5"/>
    <n v="2023"/>
    <x v="0"/>
    <x v="0"/>
    <n v="4"/>
  </r>
  <r>
    <x v="526"/>
    <s v="C0012"/>
    <x v="13"/>
    <x v="2"/>
    <x v="145"/>
    <n v="120"/>
    <x v="17"/>
    <n v="2023"/>
    <x v="1"/>
    <x v="2"/>
    <n v="4"/>
  </r>
  <r>
    <x v="527"/>
    <s v="C0009"/>
    <x v="13"/>
    <x v="2"/>
    <x v="145"/>
    <n v="120"/>
    <x v="17"/>
    <n v="2023"/>
    <x v="1"/>
    <x v="2"/>
    <n v="4"/>
  </r>
  <r>
    <x v="528"/>
    <s v="C0004"/>
    <x v="87"/>
    <x v="1"/>
    <x v="145"/>
    <n v="29"/>
    <x v="5"/>
    <n v="2023"/>
    <x v="1"/>
    <x v="1"/>
    <n v="4"/>
  </r>
  <r>
    <x v="529"/>
    <s v="C0006"/>
    <x v="111"/>
    <x v="1"/>
    <x v="146"/>
    <n v="25"/>
    <x v="20"/>
    <n v="2023"/>
    <x v="2"/>
    <x v="1"/>
    <n v="4"/>
  </r>
  <r>
    <x v="530"/>
    <s v="C0001"/>
    <x v="1"/>
    <x v="4"/>
    <x v="147"/>
    <n v="116"/>
    <x v="11"/>
    <n v="2023"/>
    <x v="3"/>
    <x v="0"/>
    <n v="4"/>
  </r>
  <r>
    <x v="531"/>
    <s v="C0004"/>
    <x v="58"/>
    <x v="2"/>
    <x v="148"/>
    <n v="132"/>
    <x v="12"/>
    <n v="2023"/>
    <x v="4"/>
    <x v="0"/>
    <n v="4"/>
  </r>
  <r>
    <x v="532"/>
    <s v="C0006"/>
    <x v="44"/>
    <x v="4"/>
    <x v="149"/>
    <n v="90"/>
    <x v="8"/>
    <n v="2023"/>
    <x v="5"/>
    <x v="2"/>
    <n v="4"/>
  </r>
  <r>
    <x v="533"/>
    <s v="C0013"/>
    <x v="118"/>
    <x v="0"/>
    <x v="149"/>
    <n v="87"/>
    <x v="17"/>
    <n v="2023"/>
    <x v="5"/>
    <x v="1"/>
    <n v="4"/>
  </r>
  <r>
    <x v="534"/>
    <s v="C0010"/>
    <x v="52"/>
    <x v="4"/>
    <x v="149"/>
    <n v="140"/>
    <x v="18"/>
    <n v="2023"/>
    <x v="5"/>
    <x v="1"/>
    <n v="4"/>
  </r>
  <r>
    <x v="535"/>
    <s v="C0002"/>
    <x v="77"/>
    <x v="4"/>
    <x v="149"/>
    <n v="164"/>
    <x v="14"/>
    <n v="2023"/>
    <x v="5"/>
    <x v="0"/>
    <n v="5"/>
  </r>
  <r>
    <x v="536"/>
    <s v="C0007"/>
    <x v="15"/>
    <x v="2"/>
    <x v="150"/>
    <n v="180"/>
    <x v="11"/>
    <n v="2023"/>
    <x v="6"/>
    <x v="0"/>
    <n v="4"/>
  </r>
  <r>
    <x v="537"/>
    <s v="C0008"/>
    <x v="75"/>
    <x v="3"/>
    <x v="151"/>
    <n v="22"/>
    <x v="17"/>
    <n v="2023"/>
    <x v="0"/>
    <x v="0"/>
    <n v="4"/>
  </r>
  <r>
    <x v="538"/>
    <s v="C0011"/>
    <x v="52"/>
    <x v="0"/>
    <x v="151"/>
    <n v="82"/>
    <x v="5"/>
    <n v="2023"/>
    <x v="0"/>
    <x v="1"/>
    <n v="4"/>
  </r>
  <r>
    <x v="539"/>
    <s v="C0003"/>
    <x v="56"/>
    <x v="2"/>
    <x v="151"/>
    <n v="100"/>
    <x v="19"/>
    <n v="2023"/>
    <x v="0"/>
    <x v="1"/>
    <n v="5"/>
  </r>
  <r>
    <x v="540"/>
    <s v="C0002"/>
    <x v="51"/>
    <x v="4"/>
    <x v="152"/>
    <n v="52"/>
    <x v="7"/>
    <n v="2023"/>
    <x v="1"/>
    <x v="0"/>
    <n v="3"/>
  </r>
  <r>
    <x v="541"/>
    <s v="C0002"/>
    <x v="110"/>
    <x v="0"/>
    <x v="153"/>
    <n v="84"/>
    <x v="19"/>
    <n v="2023"/>
    <x v="2"/>
    <x v="1"/>
    <n v="5"/>
  </r>
  <r>
    <x v="542"/>
    <s v="C0002"/>
    <x v="73"/>
    <x v="0"/>
    <x v="153"/>
    <n v="37"/>
    <x v="10"/>
    <n v="2023"/>
    <x v="2"/>
    <x v="2"/>
    <n v="4"/>
  </r>
  <r>
    <x v="543"/>
    <s v="C0015"/>
    <x v="119"/>
    <x v="2"/>
    <x v="154"/>
    <n v="190"/>
    <x v="9"/>
    <n v="2023"/>
    <x v="3"/>
    <x v="1"/>
    <n v="4"/>
  </r>
  <r>
    <x v="544"/>
    <s v="C0010"/>
    <x v="127"/>
    <x v="1"/>
    <x v="154"/>
    <n v="66"/>
    <x v="7"/>
    <n v="2023"/>
    <x v="3"/>
    <x v="1"/>
    <n v="3"/>
  </r>
  <r>
    <x v="545"/>
    <s v="C0004"/>
    <x v="95"/>
    <x v="4"/>
    <x v="155"/>
    <n v="116"/>
    <x v="23"/>
    <n v="2023"/>
    <x v="4"/>
    <x v="0"/>
    <n v="3"/>
  </r>
  <r>
    <x v="546"/>
    <s v="C0012"/>
    <x v="67"/>
    <x v="3"/>
    <x v="155"/>
    <n v="28"/>
    <x v="10"/>
    <n v="2023"/>
    <x v="4"/>
    <x v="0"/>
    <n v="4"/>
  </r>
  <r>
    <x v="547"/>
    <s v="C0011"/>
    <x v="6"/>
    <x v="4"/>
    <x v="155"/>
    <n v="120"/>
    <x v="13"/>
    <n v="2023"/>
    <x v="4"/>
    <x v="0"/>
    <n v="5"/>
  </r>
  <r>
    <x v="548"/>
    <s v="C0005"/>
    <x v="130"/>
    <x v="2"/>
    <x v="155"/>
    <n v="56"/>
    <x v="8"/>
    <n v="2023"/>
    <x v="4"/>
    <x v="0"/>
    <n v="4"/>
  </r>
  <r>
    <x v="549"/>
    <s v="C0005"/>
    <x v="8"/>
    <x v="0"/>
    <x v="155"/>
    <n v="170"/>
    <x v="11"/>
    <n v="2023"/>
    <x v="4"/>
    <x v="2"/>
    <n v="4"/>
  </r>
  <r>
    <x v="550"/>
    <s v="C0012"/>
    <x v="76"/>
    <x v="2"/>
    <x v="156"/>
    <n v="200"/>
    <x v="4"/>
    <n v="2023"/>
    <x v="5"/>
    <x v="1"/>
    <n v="5"/>
  </r>
  <r>
    <x v="551"/>
    <s v="C0011"/>
    <x v="35"/>
    <x v="4"/>
    <x v="157"/>
    <n v="50"/>
    <x v="18"/>
    <n v="2023"/>
    <x v="6"/>
    <x v="1"/>
    <n v="4"/>
  </r>
  <r>
    <x v="552"/>
    <s v="C0003"/>
    <x v="32"/>
    <x v="3"/>
    <x v="157"/>
    <n v="112"/>
    <x v="20"/>
    <n v="2023"/>
    <x v="6"/>
    <x v="0"/>
    <n v="4"/>
  </r>
  <r>
    <x v="553"/>
    <s v="C0008"/>
    <x v="99"/>
    <x v="4"/>
    <x v="158"/>
    <n v="39"/>
    <x v="4"/>
    <n v="2023"/>
    <x v="0"/>
    <x v="0"/>
    <n v="5"/>
  </r>
  <r>
    <x v="554"/>
    <s v="C0010"/>
    <x v="106"/>
    <x v="3"/>
    <x v="158"/>
    <n v="38"/>
    <x v="4"/>
    <n v="2023"/>
    <x v="0"/>
    <x v="0"/>
    <n v="5"/>
  </r>
  <r>
    <x v="555"/>
    <s v="C0007"/>
    <x v="4"/>
    <x v="4"/>
    <x v="159"/>
    <n v="84"/>
    <x v="1"/>
    <n v="2023"/>
    <x v="1"/>
    <x v="2"/>
    <n v="3"/>
  </r>
  <r>
    <x v="556"/>
    <s v="C0002"/>
    <x v="146"/>
    <x v="2"/>
    <x v="160"/>
    <n v="82"/>
    <x v="8"/>
    <n v="2023"/>
    <x v="2"/>
    <x v="0"/>
    <n v="4"/>
  </r>
  <r>
    <x v="557"/>
    <s v="C0008"/>
    <x v="151"/>
    <x v="3"/>
    <x v="160"/>
    <n v="37"/>
    <x v="41"/>
    <n v="2023"/>
    <x v="2"/>
    <x v="1"/>
    <n v="1"/>
  </r>
  <r>
    <x v="558"/>
    <s v="C0005"/>
    <x v="49"/>
    <x v="1"/>
    <x v="161"/>
    <n v="87"/>
    <x v="7"/>
    <n v="2023"/>
    <x v="3"/>
    <x v="1"/>
    <n v="3"/>
  </r>
  <r>
    <x v="559"/>
    <s v="C0005"/>
    <x v="21"/>
    <x v="1"/>
    <x v="161"/>
    <n v="75"/>
    <x v="34"/>
    <n v="2023"/>
    <x v="3"/>
    <x v="0"/>
    <n v="3"/>
  </r>
  <r>
    <x v="560"/>
    <s v="C0007"/>
    <x v="24"/>
    <x v="4"/>
    <x v="161"/>
    <n v="32"/>
    <x v="2"/>
    <n v="2023"/>
    <x v="3"/>
    <x v="0"/>
    <n v="5"/>
  </r>
  <r>
    <x v="561"/>
    <s v="C0001"/>
    <x v="8"/>
    <x v="2"/>
    <x v="161"/>
    <n v="33"/>
    <x v="35"/>
    <n v="2023"/>
    <x v="3"/>
    <x v="2"/>
    <n v="3"/>
  </r>
  <r>
    <x v="562"/>
    <s v="C0001"/>
    <x v="9"/>
    <x v="0"/>
    <x v="161"/>
    <n v="76"/>
    <x v="18"/>
    <n v="2023"/>
    <x v="3"/>
    <x v="0"/>
    <n v="4"/>
  </r>
  <r>
    <x v="563"/>
    <s v="C0015"/>
    <x v="33"/>
    <x v="0"/>
    <x v="161"/>
    <n v="117"/>
    <x v="4"/>
    <n v="2023"/>
    <x v="3"/>
    <x v="0"/>
    <n v="5"/>
  </r>
  <r>
    <x v="564"/>
    <s v="C0007"/>
    <x v="143"/>
    <x v="2"/>
    <x v="162"/>
    <n v="70"/>
    <x v="17"/>
    <n v="2023"/>
    <x v="5"/>
    <x v="2"/>
    <n v="4"/>
  </r>
  <r>
    <x v="565"/>
    <s v="C0007"/>
    <x v="33"/>
    <x v="1"/>
    <x v="162"/>
    <n v="37"/>
    <x v="34"/>
    <n v="2023"/>
    <x v="5"/>
    <x v="0"/>
    <n v="3"/>
  </r>
  <r>
    <x v="566"/>
    <s v="C0005"/>
    <x v="74"/>
    <x v="0"/>
    <x v="162"/>
    <n v="46"/>
    <x v="1"/>
    <n v="2023"/>
    <x v="5"/>
    <x v="0"/>
    <n v="3"/>
  </r>
  <r>
    <x v="567"/>
    <s v="C0013"/>
    <x v="38"/>
    <x v="4"/>
    <x v="162"/>
    <n v="136"/>
    <x v="13"/>
    <n v="2023"/>
    <x v="5"/>
    <x v="0"/>
    <n v="5"/>
  </r>
  <r>
    <x v="568"/>
    <s v="C0005"/>
    <x v="114"/>
    <x v="0"/>
    <x v="163"/>
    <n v="44"/>
    <x v="19"/>
    <n v="2023"/>
    <x v="6"/>
    <x v="1"/>
    <n v="5"/>
  </r>
  <r>
    <x v="569"/>
    <s v="C0009"/>
    <x v="41"/>
    <x v="3"/>
    <x v="163"/>
    <n v="69"/>
    <x v="35"/>
    <n v="2023"/>
    <x v="6"/>
    <x v="0"/>
    <n v="3"/>
  </r>
  <r>
    <x v="570"/>
    <s v="C0013"/>
    <x v="142"/>
    <x v="2"/>
    <x v="164"/>
    <n v="86"/>
    <x v="19"/>
    <n v="2023"/>
    <x v="0"/>
    <x v="2"/>
    <n v="5"/>
  </r>
  <r>
    <x v="571"/>
    <s v="C0007"/>
    <x v="114"/>
    <x v="4"/>
    <x v="164"/>
    <n v="68"/>
    <x v="14"/>
    <n v="2023"/>
    <x v="0"/>
    <x v="1"/>
    <n v="5"/>
  </r>
  <r>
    <x v="572"/>
    <s v="C0002"/>
    <x v="122"/>
    <x v="2"/>
    <x v="165"/>
    <n v="21"/>
    <x v="20"/>
    <n v="2023"/>
    <x v="1"/>
    <x v="1"/>
    <n v="4"/>
  </r>
  <r>
    <x v="573"/>
    <s v="C0005"/>
    <x v="116"/>
    <x v="1"/>
    <x v="165"/>
    <n v="190"/>
    <x v="21"/>
    <n v="2023"/>
    <x v="1"/>
    <x v="1"/>
    <n v="2"/>
  </r>
  <r>
    <x v="574"/>
    <s v="C0007"/>
    <x v="121"/>
    <x v="0"/>
    <x v="165"/>
    <n v="176"/>
    <x v="12"/>
    <n v="2023"/>
    <x v="1"/>
    <x v="2"/>
    <n v="4"/>
  </r>
  <r>
    <x v="575"/>
    <s v="C0015"/>
    <x v="7"/>
    <x v="4"/>
    <x v="165"/>
    <n v="172"/>
    <x v="10"/>
    <n v="2023"/>
    <x v="1"/>
    <x v="2"/>
    <n v="4"/>
  </r>
  <r>
    <x v="576"/>
    <s v="C0011"/>
    <x v="128"/>
    <x v="2"/>
    <x v="165"/>
    <n v="84"/>
    <x v="14"/>
    <n v="2023"/>
    <x v="1"/>
    <x v="3"/>
    <n v="5"/>
  </r>
  <r>
    <x v="577"/>
    <s v="C0004"/>
    <x v="35"/>
    <x v="3"/>
    <x v="166"/>
    <n v="42"/>
    <x v="13"/>
    <n v="2023"/>
    <x v="2"/>
    <x v="1"/>
    <n v="5"/>
  </r>
  <r>
    <x v="578"/>
    <s v="C0013"/>
    <x v="47"/>
    <x v="1"/>
    <x v="166"/>
    <n v="70"/>
    <x v="37"/>
    <n v="2023"/>
    <x v="2"/>
    <x v="0"/>
    <n v="2"/>
  </r>
  <r>
    <x v="579"/>
    <s v="C0009"/>
    <x v="10"/>
    <x v="3"/>
    <x v="166"/>
    <n v="60"/>
    <x v="12"/>
    <n v="2023"/>
    <x v="2"/>
    <x v="1"/>
    <n v="4"/>
  </r>
  <r>
    <x v="580"/>
    <s v="C0010"/>
    <x v="58"/>
    <x v="1"/>
    <x v="166"/>
    <n v="84"/>
    <x v="8"/>
    <n v="2023"/>
    <x v="2"/>
    <x v="0"/>
    <n v="4"/>
  </r>
  <r>
    <x v="581"/>
    <s v="C0002"/>
    <x v="24"/>
    <x v="0"/>
    <x v="167"/>
    <n v="68"/>
    <x v="22"/>
    <n v="2023"/>
    <x v="3"/>
    <x v="0"/>
    <n v="3"/>
  </r>
  <r>
    <x v="582"/>
    <s v="C0001"/>
    <x v="16"/>
    <x v="0"/>
    <x v="167"/>
    <n v="44"/>
    <x v="1"/>
    <n v="2023"/>
    <x v="3"/>
    <x v="3"/>
    <n v="3"/>
  </r>
  <r>
    <x v="583"/>
    <s v="C0010"/>
    <x v="9"/>
    <x v="3"/>
    <x v="168"/>
    <n v="99"/>
    <x v="23"/>
    <n v="2023"/>
    <x v="4"/>
    <x v="0"/>
    <n v="3"/>
  </r>
  <r>
    <x v="584"/>
    <s v="C0013"/>
    <x v="73"/>
    <x v="3"/>
    <x v="169"/>
    <n v="66"/>
    <x v="23"/>
    <n v="2023"/>
    <x v="5"/>
    <x v="2"/>
    <n v="3"/>
  </r>
  <r>
    <x v="585"/>
    <s v="C0014"/>
    <x v="6"/>
    <x v="3"/>
    <x v="169"/>
    <n v="102"/>
    <x v="14"/>
    <n v="2023"/>
    <x v="5"/>
    <x v="0"/>
    <n v="5"/>
  </r>
  <r>
    <x v="586"/>
    <s v="C0002"/>
    <x v="31"/>
    <x v="0"/>
    <x v="170"/>
    <n v="129"/>
    <x v="10"/>
    <n v="2024"/>
    <x v="6"/>
    <x v="0"/>
    <n v="4"/>
  </r>
  <r>
    <x v="587"/>
    <s v="C0012"/>
    <x v="117"/>
    <x v="3"/>
    <x v="170"/>
    <n v="80"/>
    <x v="18"/>
    <n v="2024"/>
    <x v="6"/>
    <x v="0"/>
    <n v="4"/>
  </r>
  <r>
    <x v="588"/>
    <s v="C0014"/>
    <x v="39"/>
    <x v="3"/>
    <x v="170"/>
    <n v="54"/>
    <x v="32"/>
    <n v="2024"/>
    <x v="6"/>
    <x v="2"/>
    <n v="2"/>
  </r>
  <r>
    <x v="589"/>
    <s v="C0001"/>
    <x v="112"/>
    <x v="0"/>
    <x v="170"/>
    <n v="116"/>
    <x v="18"/>
    <n v="2024"/>
    <x v="6"/>
    <x v="1"/>
    <n v="4"/>
  </r>
  <r>
    <x v="590"/>
    <s v="C0001"/>
    <x v="88"/>
    <x v="2"/>
    <x v="170"/>
    <n v="102"/>
    <x v="22"/>
    <n v="2024"/>
    <x v="6"/>
    <x v="1"/>
    <n v="3"/>
  </r>
  <r>
    <x v="591"/>
    <s v="C0006"/>
    <x v="3"/>
    <x v="1"/>
    <x v="170"/>
    <n v="140"/>
    <x v="12"/>
    <n v="2024"/>
    <x v="6"/>
    <x v="1"/>
    <n v="4"/>
  </r>
  <r>
    <x v="592"/>
    <s v="C0013"/>
    <x v="50"/>
    <x v="1"/>
    <x v="171"/>
    <n v="104"/>
    <x v="5"/>
    <n v="2024"/>
    <x v="0"/>
    <x v="0"/>
    <n v="4"/>
  </r>
  <r>
    <x v="593"/>
    <s v="C0006"/>
    <x v="12"/>
    <x v="3"/>
    <x v="171"/>
    <n v="81"/>
    <x v="5"/>
    <n v="2024"/>
    <x v="0"/>
    <x v="1"/>
    <n v="4"/>
  </r>
  <r>
    <x v="594"/>
    <s v="C0010"/>
    <x v="66"/>
    <x v="4"/>
    <x v="172"/>
    <n v="140"/>
    <x v="21"/>
    <n v="2024"/>
    <x v="2"/>
    <x v="0"/>
    <n v="2"/>
  </r>
  <r>
    <x v="595"/>
    <s v="C0004"/>
    <x v="82"/>
    <x v="0"/>
    <x v="173"/>
    <n v="120"/>
    <x v="8"/>
    <n v="2024"/>
    <x v="3"/>
    <x v="2"/>
    <n v="4"/>
  </r>
  <r>
    <x v="596"/>
    <s v="C0010"/>
    <x v="2"/>
    <x v="3"/>
    <x v="173"/>
    <n v="41"/>
    <x v="22"/>
    <n v="2024"/>
    <x v="3"/>
    <x v="0"/>
    <n v="3"/>
  </r>
  <r>
    <x v="597"/>
    <s v="C0011"/>
    <x v="3"/>
    <x v="3"/>
    <x v="173"/>
    <n v="116"/>
    <x v="24"/>
    <n v="2024"/>
    <x v="3"/>
    <x v="1"/>
    <n v="2"/>
  </r>
  <r>
    <x v="598"/>
    <s v="C0003"/>
    <x v="9"/>
    <x v="0"/>
    <x v="174"/>
    <n v="70"/>
    <x v="3"/>
    <n v="2024"/>
    <x v="4"/>
    <x v="0"/>
    <n v="3"/>
  </r>
  <r>
    <x v="599"/>
    <s v="C0006"/>
    <x v="143"/>
    <x v="2"/>
    <x v="174"/>
    <n v="42"/>
    <x v="14"/>
    <n v="2024"/>
    <x v="4"/>
    <x v="2"/>
    <n v="5"/>
  </r>
  <r>
    <x v="600"/>
    <s v="C0011"/>
    <x v="71"/>
    <x v="1"/>
    <x v="175"/>
    <n v="112"/>
    <x v="14"/>
    <n v="2024"/>
    <x v="5"/>
    <x v="2"/>
    <n v="5"/>
  </r>
  <r>
    <x v="601"/>
    <s v="C0014"/>
    <x v="99"/>
    <x v="3"/>
    <x v="175"/>
    <n v="20"/>
    <x v="14"/>
    <n v="2024"/>
    <x v="5"/>
    <x v="0"/>
    <n v="5"/>
  </r>
  <r>
    <x v="602"/>
    <s v="C0002"/>
    <x v="117"/>
    <x v="2"/>
    <x v="176"/>
    <n v="110"/>
    <x v="4"/>
    <n v="2024"/>
    <x v="6"/>
    <x v="0"/>
    <n v="5"/>
  </r>
  <r>
    <x v="603"/>
    <s v="C0007"/>
    <x v="4"/>
    <x v="2"/>
    <x v="176"/>
    <n v="39"/>
    <x v="19"/>
    <n v="2024"/>
    <x v="6"/>
    <x v="2"/>
    <n v="5"/>
  </r>
  <r>
    <x v="604"/>
    <s v="C0002"/>
    <x v="113"/>
    <x v="0"/>
    <x v="176"/>
    <n v="76"/>
    <x v="14"/>
    <n v="2024"/>
    <x v="6"/>
    <x v="0"/>
    <n v="5"/>
  </r>
  <r>
    <x v="605"/>
    <s v="C0004"/>
    <x v="54"/>
    <x v="0"/>
    <x v="176"/>
    <n v="40"/>
    <x v="13"/>
    <n v="2024"/>
    <x v="6"/>
    <x v="2"/>
    <n v="5"/>
  </r>
  <r>
    <x v="606"/>
    <s v="C0002"/>
    <x v="143"/>
    <x v="3"/>
    <x v="176"/>
    <n v="42"/>
    <x v="4"/>
    <n v="2024"/>
    <x v="6"/>
    <x v="2"/>
    <n v="5"/>
  </r>
  <r>
    <x v="607"/>
    <s v="C0005"/>
    <x v="106"/>
    <x v="4"/>
    <x v="177"/>
    <n v="215"/>
    <x v="8"/>
    <n v="2024"/>
    <x v="0"/>
    <x v="0"/>
    <n v="4"/>
  </r>
  <r>
    <x v="608"/>
    <s v="C0009"/>
    <x v="11"/>
    <x v="4"/>
    <x v="178"/>
    <n v="130"/>
    <x v="7"/>
    <n v="2024"/>
    <x v="1"/>
    <x v="0"/>
    <n v="3"/>
  </r>
  <r>
    <x v="609"/>
    <s v="C0015"/>
    <x v="143"/>
    <x v="4"/>
    <x v="178"/>
    <n v="190"/>
    <x v="16"/>
    <n v="2024"/>
    <x v="1"/>
    <x v="2"/>
    <n v="3"/>
  </r>
  <r>
    <x v="610"/>
    <s v="C0011"/>
    <x v="85"/>
    <x v="2"/>
    <x v="178"/>
    <n v="164"/>
    <x v="0"/>
    <n v="2024"/>
    <x v="1"/>
    <x v="1"/>
    <n v="5"/>
  </r>
  <r>
    <x v="611"/>
    <s v="C0008"/>
    <x v="37"/>
    <x v="1"/>
    <x v="179"/>
    <n v="76"/>
    <x v="14"/>
    <n v="2024"/>
    <x v="2"/>
    <x v="1"/>
    <n v="5"/>
  </r>
  <r>
    <x v="612"/>
    <s v="C0005"/>
    <x v="21"/>
    <x v="1"/>
    <x v="180"/>
    <n v="87"/>
    <x v="4"/>
    <n v="2024"/>
    <x v="3"/>
    <x v="0"/>
    <n v="5"/>
  </r>
  <r>
    <x v="613"/>
    <s v="C0013"/>
    <x v="64"/>
    <x v="4"/>
    <x v="180"/>
    <n v="84"/>
    <x v="4"/>
    <n v="2024"/>
    <x v="3"/>
    <x v="2"/>
    <n v="5"/>
  </r>
  <r>
    <x v="614"/>
    <s v="C0006"/>
    <x v="59"/>
    <x v="3"/>
    <x v="180"/>
    <n v="114"/>
    <x v="10"/>
    <n v="2024"/>
    <x v="3"/>
    <x v="0"/>
    <n v="4"/>
  </r>
  <r>
    <x v="615"/>
    <s v="C0009"/>
    <x v="53"/>
    <x v="1"/>
    <x v="181"/>
    <n v="56"/>
    <x v="10"/>
    <n v="2024"/>
    <x v="4"/>
    <x v="0"/>
    <n v="4"/>
  </r>
  <r>
    <x v="616"/>
    <s v="C0008"/>
    <x v="147"/>
    <x v="2"/>
    <x v="181"/>
    <n v="27"/>
    <x v="20"/>
    <n v="2024"/>
    <x v="4"/>
    <x v="2"/>
    <n v="4"/>
  </r>
  <r>
    <x v="617"/>
    <s v="C0004"/>
    <x v="7"/>
    <x v="0"/>
    <x v="182"/>
    <n v="84"/>
    <x v="4"/>
    <n v="2024"/>
    <x v="5"/>
    <x v="2"/>
    <n v="5"/>
  </r>
  <r>
    <x v="618"/>
    <s v="C0013"/>
    <x v="57"/>
    <x v="2"/>
    <x v="182"/>
    <n v="72"/>
    <x v="8"/>
    <n v="2024"/>
    <x v="5"/>
    <x v="1"/>
    <n v="4"/>
  </r>
  <r>
    <x v="619"/>
    <s v="C0005"/>
    <x v="75"/>
    <x v="3"/>
    <x v="183"/>
    <n v="126"/>
    <x v="18"/>
    <n v="2024"/>
    <x v="6"/>
    <x v="0"/>
    <n v="4"/>
  </r>
  <r>
    <x v="620"/>
    <s v="C0004"/>
    <x v="24"/>
    <x v="2"/>
    <x v="184"/>
    <n v="88"/>
    <x v="0"/>
    <n v="2024"/>
    <x v="0"/>
    <x v="0"/>
    <n v="5"/>
  </r>
  <r>
    <x v="621"/>
    <s v="C0003"/>
    <x v="39"/>
    <x v="2"/>
    <x v="184"/>
    <n v="124"/>
    <x v="19"/>
    <n v="2024"/>
    <x v="0"/>
    <x v="2"/>
    <n v="5"/>
  </r>
  <r>
    <x v="622"/>
    <s v="C0001"/>
    <x v="65"/>
    <x v="2"/>
    <x v="185"/>
    <n v="84"/>
    <x v="27"/>
    <n v="2024"/>
    <x v="1"/>
    <x v="1"/>
    <n v="3"/>
  </r>
  <r>
    <x v="623"/>
    <s v="C0009"/>
    <x v="114"/>
    <x v="3"/>
    <x v="185"/>
    <n v="80"/>
    <x v="34"/>
    <n v="2024"/>
    <x v="1"/>
    <x v="1"/>
    <n v="3"/>
  </r>
  <r>
    <x v="624"/>
    <s v="C0012"/>
    <x v="28"/>
    <x v="3"/>
    <x v="186"/>
    <n v="176"/>
    <x v="2"/>
    <n v="2024"/>
    <x v="2"/>
    <x v="0"/>
    <n v="5"/>
  </r>
  <r>
    <x v="625"/>
    <s v="C0003"/>
    <x v="77"/>
    <x v="4"/>
    <x v="187"/>
    <n v="84"/>
    <x v="10"/>
    <n v="2024"/>
    <x v="3"/>
    <x v="0"/>
    <n v="4"/>
  </r>
  <r>
    <x v="626"/>
    <s v="C0004"/>
    <x v="111"/>
    <x v="4"/>
    <x v="187"/>
    <n v="164"/>
    <x v="3"/>
    <n v="2024"/>
    <x v="3"/>
    <x v="1"/>
    <n v="3"/>
  </r>
  <r>
    <x v="627"/>
    <s v="C0008"/>
    <x v="66"/>
    <x v="0"/>
    <x v="187"/>
    <n v="132"/>
    <x v="22"/>
    <n v="2024"/>
    <x v="3"/>
    <x v="0"/>
    <n v="3"/>
  </r>
  <r>
    <x v="628"/>
    <s v="C0009"/>
    <x v="152"/>
    <x v="2"/>
    <x v="188"/>
    <n v="27"/>
    <x v="18"/>
    <n v="2024"/>
    <x v="4"/>
    <x v="1"/>
    <n v="4"/>
  </r>
  <r>
    <x v="629"/>
    <s v="C0004"/>
    <x v="108"/>
    <x v="3"/>
    <x v="188"/>
    <n v="27"/>
    <x v="12"/>
    <n v="2024"/>
    <x v="4"/>
    <x v="2"/>
    <n v="4"/>
  </r>
  <r>
    <x v="630"/>
    <s v="C0004"/>
    <x v="110"/>
    <x v="1"/>
    <x v="188"/>
    <n v="20"/>
    <x v="34"/>
    <n v="2024"/>
    <x v="4"/>
    <x v="1"/>
    <n v="3"/>
  </r>
  <r>
    <x v="631"/>
    <s v="C0009"/>
    <x v="103"/>
    <x v="3"/>
    <x v="189"/>
    <n v="112"/>
    <x v="24"/>
    <n v="2024"/>
    <x v="5"/>
    <x v="2"/>
    <n v="2"/>
  </r>
  <r>
    <x v="632"/>
    <s v="C0014"/>
    <x v="73"/>
    <x v="2"/>
    <x v="189"/>
    <n v="60"/>
    <x v="24"/>
    <n v="2024"/>
    <x v="5"/>
    <x v="2"/>
    <n v="2"/>
  </r>
  <r>
    <x v="633"/>
    <s v="C0014"/>
    <x v="111"/>
    <x v="2"/>
    <x v="190"/>
    <n v="102"/>
    <x v="1"/>
    <n v="2024"/>
    <x v="6"/>
    <x v="1"/>
    <n v="3"/>
  </r>
  <r>
    <x v="634"/>
    <s v="C0011"/>
    <x v="19"/>
    <x v="2"/>
    <x v="190"/>
    <n v="38"/>
    <x v="18"/>
    <n v="2024"/>
    <x v="6"/>
    <x v="0"/>
    <n v="4"/>
  </r>
  <r>
    <x v="635"/>
    <s v="C0009"/>
    <x v="153"/>
    <x v="0"/>
    <x v="190"/>
    <n v="82"/>
    <x v="19"/>
    <n v="2024"/>
    <x v="6"/>
    <x v="1"/>
    <n v="5"/>
  </r>
  <r>
    <x v="636"/>
    <s v="C0014"/>
    <x v="69"/>
    <x v="1"/>
    <x v="191"/>
    <n v="125"/>
    <x v="14"/>
    <n v="2024"/>
    <x v="2"/>
    <x v="0"/>
    <n v="5"/>
  </r>
  <r>
    <x v="637"/>
    <s v="C0015"/>
    <x v="154"/>
    <x v="4"/>
    <x v="192"/>
    <n v="72"/>
    <x v="20"/>
    <n v="2024"/>
    <x v="3"/>
    <x v="4"/>
    <n v="4"/>
  </r>
  <r>
    <x v="638"/>
    <s v="C0004"/>
    <x v="87"/>
    <x v="4"/>
    <x v="192"/>
    <n v="195"/>
    <x v="17"/>
    <n v="2024"/>
    <x v="3"/>
    <x v="1"/>
    <n v="4"/>
  </r>
  <r>
    <x v="639"/>
    <s v="C0009"/>
    <x v="7"/>
    <x v="4"/>
    <x v="193"/>
    <n v="160"/>
    <x v="7"/>
    <n v="2024"/>
    <x v="4"/>
    <x v="2"/>
    <n v="3"/>
  </r>
  <r>
    <x v="640"/>
    <s v="C0012"/>
    <x v="29"/>
    <x v="0"/>
    <x v="193"/>
    <n v="78"/>
    <x v="16"/>
    <n v="2024"/>
    <x v="4"/>
    <x v="0"/>
    <n v="3"/>
  </r>
  <r>
    <x v="641"/>
    <s v="C0003"/>
    <x v="83"/>
    <x v="0"/>
    <x v="194"/>
    <n v="70"/>
    <x v="5"/>
    <n v="2024"/>
    <x v="5"/>
    <x v="0"/>
    <n v="4"/>
  </r>
  <r>
    <x v="642"/>
    <s v="C0005"/>
    <x v="32"/>
    <x v="3"/>
    <x v="194"/>
    <n v="105"/>
    <x v="18"/>
    <n v="2024"/>
    <x v="5"/>
    <x v="0"/>
    <n v="4"/>
  </r>
  <r>
    <x v="643"/>
    <s v="C0003"/>
    <x v="99"/>
    <x v="3"/>
    <x v="195"/>
    <n v="78"/>
    <x v="7"/>
    <n v="2024"/>
    <x v="6"/>
    <x v="0"/>
    <n v="3"/>
  </r>
  <r>
    <x v="644"/>
    <s v="C0001"/>
    <x v="67"/>
    <x v="3"/>
    <x v="196"/>
    <n v="205"/>
    <x v="5"/>
    <n v="2024"/>
    <x v="1"/>
    <x v="0"/>
    <n v="4"/>
  </r>
  <r>
    <x v="645"/>
    <s v="C0002"/>
    <x v="150"/>
    <x v="3"/>
    <x v="196"/>
    <n v="78"/>
    <x v="34"/>
    <n v="2024"/>
    <x v="1"/>
    <x v="1"/>
    <n v="3"/>
  </r>
  <r>
    <x v="646"/>
    <s v="C0004"/>
    <x v="20"/>
    <x v="4"/>
    <x v="196"/>
    <n v="38"/>
    <x v="14"/>
    <n v="2024"/>
    <x v="1"/>
    <x v="2"/>
    <n v="5"/>
  </r>
  <r>
    <x v="647"/>
    <s v="C0001"/>
    <x v="147"/>
    <x v="2"/>
    <x v="196"/>
    <n v="92"/>
    <x v="42"/>
    <n v="2024"/>
    <x v="1"/>
    <x v="2"/>
    <n v="2"/>
  </r>
  <r>
    <x v="648"/>
    <s v="C0008"/>
    <x v="155"/>
    <x v="0"/>
    <x v="196"/>
    <n v="36"/>
    <x v="2"/>
    <n v="2024"/>
    <x v="1"/>
    <x v="1"/>
    <n v="5"/>
  </r>
  <r>
    <x v="649"/>
    <s v="C0012"/>
    <x v="136"/>
    <x v="1"/>
    <x v="196"/>
    <n v="76"/>
    <x v="5"/>
    <n v="2024"/>
    <x v="1"/>
    <x v="1"/>
    <n v="4"/>
  </r>
  <r>
    <x v="650"/>
    <s v="C0007"/>
    <x v="51"/>
    <x v="0"/>
    <x v="197"/>
    <n v="170"/>
    <x v="8"/>
    <n v="2024"/>
    <x v="3"/>
    <x v="0"/>
    <n v="4"/>
  </r>
  <r>
    <x v="651"/>
    <s v="C0001"/>
    <x v="6"/>
    <x v="4"/>
    <x v="198"/>
    <n v="117"/>
    <x v="2"/>
    <n v="2024"/>
    <x v="4"/>
    <x v="0"/>
    <n v="5"/>
  </r>
  <r>
    <x v="652"/>
    <s v="C0006"/>
    <x v="53"/>
    <x v="1"/>
    <x v="198"/>
    <n v="20"/>
    <x v="12"/>
    <n v="2024"/>
    <x v="4"/>
    <x v="0"/>
    <n v="4"/>
  </r>
  <r>
    <x v="653"/>
    <s v="C0012"/>
    <x v="75"/>
    <x v="4"/>
    <x v="198"/>
    <n v="99"/>
    <x v="17"/>
    <n v="2024"/>
    <x v="4"/>
    <x v="0"/>
    <n v="4"/>
  </r>
  <r>
    <x v="654"/>
    <s v="C0010"/>
    <x v="156"/>
    <x v="1"/>
    <x v="199"/>
    <n v="105"/>
    <x v="1"/>
    <n v="2024"/>
    <x v="5"/>
    <x v="0"/>
    <n v="3"/>
  </r>
  <r>
    <x v="655"/>
    <s v="C0013"/>
    <x v="111"/>
    <x v="3"/>
    <x v="199"/>
    <n v="195"/>
    <x v="7"/>
    <n v="2024"/>
    <x v="5"/>
    <x v="1"/>
    <n v="3"/>
  </r>
  <r>
    <x v="656"/>
    <s v="C0005"/>
    <x v="108"/>
    <x v="1"/>
    <x v="200"/>
    <n v="152"/>
    <x v="19"/>
    <n v="2024"/>
    <x v="6"/>
    <x v="2"/>
    <n v="5"/>
  </r>
  <r>
    <x v="657"/>
    <s v="C0013"/>
    <x v="35"/>
    <x v="3"/>
    <x v="201"/>
    <n v="195"/>
    <x v="0"/>
    <n v="2024"/>
    <x v="0"/>
    <x v="1"/>
    <n v="5"/>
  </r>
  <r>
    <x v="658"/>
    <s v="C0007"/>
    <x v="113"/>
    <x v="2"/>
    <x v="201"/>
    <n v="70"/>
    <x v="6"/>
    <n v="2024"/>
    <x v="0"/>
    <x v="0"/>
    <n v="4"/>
  </r>
  <r>
    <x v="659"/>
    <s v="C0012"/>
    <x v="157"/>
    <x v="2"/>
    <x v="201"/>
    <n v="22"/>
    <x v="8"/>
    <n v="2024"/>
    <x v="0"/>
    <x v="3"/>
    <n v="4"/>
  </r>
  <r>
    <x v="660"/>
    <s v="C0011"/>
    <x v="86"/>
    <x v="4"/>
    <x v="202"/>
    <n v="40"/>
    <x v="16"/>
    <n v="2024"/>
    <x v="1"/>
    <x v="0"/>
    <n v="3"/>
  </r>
  <r>
    <x v="661"/>
    <s v="C0011"/>
    <x v="55"/>
    <x v="1"/>
    <x v="203"/>
    <n v="54"/>
    <x v="11"/>
    <n v="2024"/>
    <x v="2"/>
    <x v="1"/>
    <n v="4"/>
  </r>
  <r>
    <x v="662"/>
    <s v="C0004"/>
    <x v="49"/>
    <x v="1"/>
    <x v="203"/>
    <n v="60"/>
    <x v="25"/>
    <n v="2024"/>
    <x v="2"/>
    <x v="1"/>
    <n v="3"/>
  </r>
  <r>
    <x v="663"/>
    <s v="C0015"/>
    <x v="134"/>
    <x v="0"/>
    <x v="204"/>
    <n v="58"/>
    <x v="19"/>
    <n v="2024"/>
    <x v="4"/>
    <x v="0"/>
    <n v="5"/>
  </r>
  <r>
    <x v="664"/>
    <s v="C0010"/>
    <x v="29"/>
    <x v="4"/>
    <x v="204"/>
    <n v="220"/>
    <x v="2"/>
    <n v="2024"/>
    <x v="4"/>
    <x v="0"/>
    <n v="5"/>
  </r>
  <r>
    <x v="665"/>
    <s v="C0003"/>
    <x v="47"/>
    <x v="4"/>
    <x v="204"/>
    <n v="27"/>
    <x v="6"/>
    <n v="2024"/>
    <x v="4"/>
    <x v="0"/>
    <n v="4"/>
  </r>
  <r>
    <x v="666"/>
    <s v="C0013"/>
    <x v="33"/>
    <x v="4"/>
    <x v="205"/>
    <n v="26"/>
    <x v="12"/>
    <n v="2024"/>
    <x v="6"/>
    <x v="0"/>
    <n v="4"/>
  </r>
  <r>
    <x v="667"/>
    <s v="C0006"/>
    <x v="104"/>
    <x v="3"/>
    <x v="206"/>
    <n v="160"/>
    <x v="2"/>
    <n v="2024"/>
    <x v="0"/>
    <x v="1"/>
    <n v="5"/>
  </r>
  <r>
    <x v="668"/>
    <s v="C0012"/>
    <x v="6"/>
    <x v="1"/>
    <x v="206"/>
    <n v="200"/>
    <x v="0"/>
    <n v="2024"/>
    <x v="0"/>
    <x v="0"/>
    <n v="5"/>
  </r>
  <r>
    <x v="669"/>
    <s v="C0012"/>
    <x v="23"/>
    <x v="0"/>
    <x v="207"/>
    <n v="135"/>
    <x v="0"/>
    <n v="2024"/>
    <x v="3"/>
    <x v="1"/>
    <n v="5"/>
  </r>
  <r>
    <x v="670"/>
    <s v="C0003"/>
    <x v="3"/>
    <x v="1"/>
    <x v="208"/>
    <n v="22"/>
    <x v="29"/>
    <n v="2024"/>
    <x v="4"/>
    <x v="1"/>
    <n v="2"/>
  </r>
  <r>
    <x v="671"/>
    <s v="C0010"/>
    <x v="34"/>
    <x v="3"/>
    <x v="209"/>
    <n v="164"/>
    <x v="14"/>
    <n v="2024"/>
    <x v="5"/>
    <x v="0"/>
    <n v="5"/>
  </r>
  <r>
    <x v="672"/>
    <s v="C0011"/>
    <x v="22"/>
    <x v="0"/>
    <x v="209"/>
    <n v="21"/>
    <x v="0"/>
    <n v="2024"/>
    <x v="5"/>
    <x v="0"/>
    <n v="5"/>
  </r>
  <r>
    <x v="673"/>
    <s v="C0010"/>
    <x v="131"/>
    <x v="3"/>
    <x v="210"/>
    <n v="120"/>
    <x v="14"/>
    <n v="2024"/>
    <x v="6"/>
    <x v="0"/>
    <n v="5"/>
  </r>
  <r>
    <x v="674"/>
    <s v="C0007"/>
    <x v="84"/>
    <x v="2"/>
    <x v="210"/>
    <n v="93"/>
    <x v="34"/>
    <n v="2024"/>
    <x v="6"/>
    <x v="0"/>
    <n v="3"/>
  </r>
  <r>
    <x v="675"/>
    <s v="C0011"/>
    <x v="3"/>
    <x v="2"/>
    <x v="210"/>
    <n v="135"/>
    <x v="15"/>
    <n v="2024"/>
    <x v="6"/>
    <x v="1"/>
    <n v="2"/>
  </r>
  <r>
    <x v="676"/>
    <s v="C0012"/>
    <x v="78"/>
    <x v="0"/>
    <x v="210"/>
    <n v="210"/>
    <x v="18"/>
    <n v="2024"/>
    <x v="6"/>
    <x v="3"/>
    <n v="4"/>
  </r>
  <r>
    <x v="677"/>
    <s v="C0008"/>
    <x v="47"/>
    <x v="2"/>
    <x v="211"/>
    <n v="29"/>
    <x v="2"/>
    <n v="2024"/>
    <x v="0"/>
    <x v="0"/>
    <n v="5"/>
  </r>
  <r>
    <x v="678"/>
    <s v="C0002"/>
    <x v="90"/>
    <x v="4"/>
    <x v="211"/>
    <n v="111"/>
    <x v="10"/>
    <n v="2024"/>
    <x v="0"/>
    <x v="0"/>
    <n v="4"/>
  </r>
  <r>
    <x v="679"/>
    <s v="C0014"/>
    <x v="89"/>
    <x v="1"/>
    <x v="212"/>
    <n v="63"/>
    <x v="17"/>
    <n v="2024"/>
    <x v="1"/>
    <x v="1"/>
    <n v="4"/>
  </r>
  <r>
    <x v="680"/>
    <s v="C0001"/>
    <x v="0"/>
    <x v="3"/>
    <x v="212"/>
    <n v="44"/>
    <x v="11"/>
    <n v="2024"/>
    <x v="1"/>
    <x v="0"/>
    <n v="4"/>
  </r>
  <r>
    <x v="681"/>
    <s v="C0014"/>
    <x v="75"/>
    <x v="3"/>
    <x v="213"/>
    <n v="120"/>
    <x v="32"/>
    <n v="2024"/>
    <x v="3"/>
    <x v="0"/>
    <n v="2"/>
  </r>
  <r>
    <x v="682"/>
    <s v="C0011"/>
    <x v="138"/>
    <x v="3"/>
    <x v="213"/>
    <n v="120"/>
    <x v="17"/>
    <n v="2024"/>
    <x v="3"/>
    <x v="3"/>
    <n v="4"/>
  </r>
  <r>
    <x v="683"/>
    <s v="C0002"/>
    <x v="157"/>
    <x v="1"/>
    <x v="214"/>
    <n v="40"/>
    <x v="5"/>
    <n v="2024"/>
    <x v="4"/>
    <x v="3"/>
    <n v="4"/>
  </r>
  <r>
    <x v="684"/>
    <s v="C0007"/>
    <x v="148"/>
    <x v="2"/>
    <x v="214"/>
    <n v="160"/>
    <x v="17"/>
    <n v="2024"/>
    <x v="4"/>
    <x v="1"/>
    <n v="4"/>
  </r>
  <r>
    <x v="685"/>
    <s v="C0012"/>
    <x v="21"/>
    <x v="3"/>
    <x v="215"/>
    <n v="44"/>
    <x v="11"/>
    <n v="2024"/>
    <x v="5"/>
    <x v="0"/>
    <n v="4"/>
  </r>
  <r>
    <x v="686"/>
    <s v="C0014"/>
    <x v="130"/>
    <x v="1"/>
    <x v="215"/>
    <n v="80"/>
    <x v="12"/>
    <n v="2024"/>
    <x v="5"/>
    <x v="0"/>
    <n v="4"/>
  </r>
  <r>
    <x v="687"/>
    <s v="C0006"/>
    <x v="143"/>
    <x v="1"/>
    <x v="216"/>
    <n v="66"/>
    <x v="14"/>
    <n v="2024"/>
    <x v="6"/>
    <x v="2"/>
    <n v="5"/>
  </r>
  <r>
    <x v="688"/>
    <s v="C0001"/>
    <x v="133"/>
    <x v="4"/>
    <x v="216"/>
    <n v="82"/>
    <x v="7"/>
    <n v="2024"/>
    <x v="6"/>
    <x v="1"/>
    <n v="3"/>
  </r>
  <r>
    <x v="689"/>
    <s v="C0007"/>
    <x v="38"/>
    <x v="3"/>
    <x v="216"/>
    <n v="66"/>
    <x v="4"/>
    <n v="2024"/>
    <x v="6"/>
    <x v="0"/>
    <n v="5"/>
  </r>
  <r>
    <x v="690"/>
    <s v="C0012"/>
    <x v="37"/>
    <x v="2"/>
    <x v="216"/>
    <n v="92"/>
    <x v="0"/>
    <n v="2024"/>
    <x v="6"/>
    <x v="1"/>
    <n v="5"/>
  </r>
  <r>
    <x v="691"/>
    <s v="C0015"/>
    <x v="24"/>
    <x v="4"/>
    <x v="217"/>
    <n v="104"/>
    <x v="2"/>
    <n v="2024"/>
    <x v="0"/>
    <x v="0"/>
    <n v="5"/>
  </r>
  <r>
    <x v="692"/>
    <s v="C0011"/>
    <x v="4"/>
    <x v="3"/>
    <x v="217"/>
    <n v="105"/>
    <x v="16"/>
    <n v="2024"/>
    <x v="0"/>
    <x v="2"/>
    <n v="3"/>
  </r>
  <r>
    <x v="693"/>
    <s v="C0001"/>
    <x v="21"/>
    <x v="3"/>
    <x v="217"/>
    <n v="100"/>
    <x v="3"/>
    <n v="2024"/>
    <x v="0"/>
    <x v="0"/>
    <n v="3"/>
  </r>
  <r>
    <x v="694"/>
    <s v="C0007"/>
    <x v="146"/>
    <x v="4"/>
    <x v="217"/>
    <n v="90"/>
    <x v="17"/>
    <n v="2024"/>
    <x v="0"/>
    <x v="0"/>
    <n v="4"/>
  </r>
  <r>
    <x v="695"/>
    <s v="C0005"/>
    <x v="18"/>
    <x v="0"/>
    <x v="217"/>
    <n v="110"/>
    <x v="8"/>
    <n v="2024"/>
    <x v="0"/>
    <x v="2"/>
    <n v="4"/>
  </r>
  <r>
    <x v="696"/>
    <s v="C0006"/>
    <x v="66"/>
    <x v="4"/>
    <x v="218"/>
    <n v="68"/>
    <x v="24"/>
    <n v="2024"/>
    <x v="2"/>
    <x v="0"/>
    <n v="2"/>
  </r>
  <r>
    <x v="697"/>
    <s v="C0011"/>
    <x v="95"/>
    <x v="1"/>
    <x v="219"/>
    <n v="210"/>
    <x v="17"/>
    <n v="2024"/>
    <x v="3"/>
    <x v="0"/>
    <n v="4"/>
  </r>
  <r>
    <x v="698"/>
    <s v="C0004"/>
    <x v="145"/>
    <x v="0"/>
    <x v="219"/>
    <n v="111"/>
    <x v="12"/>
    <n v="2024"/>
    <x v="3"/>
    <x v="2"/>
    <n v="4"/>
  </r>
  <r>
    <x v="699"/>
    <s v="C0004"/>
    <x v="41"/>
    <x v="1"/>
    <x v="220"/>
    <n v="45"/>
    <x v="0"/>
    <n v="2024"/>
    <x v="4"/>
    <x v="0"/>
    <n v="5"/>
  </r>
  <r>
    <x v="700"/>
    <s v="C0013"/>
    <x v="55"/>
    <x v="0"/>
    <x v="221"/>
    <n v="132"/>
    <x v="9"/>
    <n v="2024"/>
    <x v="5"/>
    <x v="1"/>
    <n v="4"/>
  </r>
  <r>
    <x v="701"/>
    <s v="C0003"/>
    <x v="70"/>
    <x v="4"/>
    <x v="221"/>
    <n v="20"/>
    <x v="2"/>
    <n v="2024"/>
    <x v="5"/>
    <x v="1"/>
    <n v="5"/>
  </r>
  <r>
    <x v="702"/>
    <s v="C0010"/>
    <x v="74"/>
    <x v="3"/>
    <x v="221"/>
    <n v="36"/>
    <x v="7"/>
    <n v="2024"/>
    <x v="5"/>
    <x v="0"/>
    <n v="3"/>
  </r>
  <r>
    <x v="703"/>
    <s v="C0001"/>
    <x v="5"/>
    <x v="1"/>
    <x v="222"/>
    <n v="72"/>
    <x v="9"/>
    <n v="2024"/>
    <x v="0"/>
    <x v="0"/>
    <n v="4"/>
  </r>
  <r>
    <x v="704"/>
    <s v="C0009"/>
    <x v="75"/>
    <x v="1"/>
    <x v="222"/>
    <n v="63"/>
    <x v="14"/>
    <n v="2024"/>
    <x v="0"/>
    <x v="0"/>
    <n v="5"/>
  </r>
  <r>
    <x v="705"/>
    <s v="C0009"/>
    <x v="6"/>
    <x v="0"/>
    <x v="223"/>
    <n v="44"/>
    <x v="14"/>
    <n v="2024"/>
    <x v="1"/>
    <x v="0"/>
    <n v="5"/>
  </r>
  <r>
    <x v="706"/>
    <s v="C0003"/>
    <x v="84"/>
    <x v="2"/>
    <x v="223"/>
    <n v="132"/>
    <x v="0"/>
    <n v="2024"/>
    <x v="1"/>
    <x v="0"/>
    <n v="5"/>
  </r>
  <r>
    <x v="707"/>
    <s v="C0012"/>
    <x v="97"/>
    <x v="3"/>
    <x v="223"/>
    <n v="46"/>
    <x v="5"/>
    <n v="2024"/>
    <x v="1"/>
    <x v="0"/>
    <n v="4"/>
  </r>
  <r>
    <x v="708"/>
    <s v="C0012"/>
    <x v="74"/>
    <x v="3"/>
    <x v="223"/>
    <n v="96"/>
    <x v="1"/>
    <n v="2024"/>
    <x v="1"/>
    <x v="0"/>
    <n v="3"/>
  </r>
  <r>
    <x v="709"/>
    <s v="C0002"/>
    <x v="37"/>
    <x v="0"/>
    <x v="224"/>
    <n v="75"/>
    <x v="5"/>
    <n v="2024"/>
    <x v="2"/>
    <x v="1"/>
    <n v="4"/>
  </r>
  <r>
    <x v="710"/>
    <s v="C0007"/>
    <x v="143"/>
    <x v="3"/>
    <x v="225"/>
    <n v="88"/>
    <x v="12"/>
    <n v="2024"/>
    <x v="3"/>
    <x v="2"/>
    <n v="4"/>
  </r>
  <r>
    <x v="711"/>
    <s v="C0004"/>
    <x v="41"/>
    <x v="0"/>
    <x v="225"/>
    <n v="24"/>
    <x v="2"/>
    <n v="2024"/>
    <x v="3"/>
    <x v="0"/>
    <n v="5"/>
  </r>
  <r>
    <x v="712"/>
    <s v="C0014"/>
    <x v="20"/>
    <x v="4"/>
    <x v="225"/>
    <n v="96"/>
    <x v="23"/>
    <n v="2024"/>
    <x v="3"/>
    <x v="2"/>
    <n v="3"/>
  </r>
  <r>
    <x v="713"/>
    <s v="C0011"/>
    <x v="111"/>
    <x v="4"/>
    <x v="226"/>
    <n v="124"/>
    <x v="24"/>
    <n v="2024"/>
    <x v="4"/>
    <x v="1"/>
    <n v="2"/>
  </r>
  <r>
    <x v="714"/>
    <s v="C0014"/>
    <x v="93"/>
    <x v="2"/>
    <x v="227"/>
    <n v="130"/>
    <x v="6"/>
    <n v="2024"/>
    <x v="5"/>
    <x v="2"/>
    <n v="4"/>
  </r>
  <r>
    <x v="715"/>
    <s v="C0012"/>
    <x v="156"/>
    <x v="1"/>
    <x v="227"/>
    <n v="45"/>
    <x v="19"/>
    <n v="2024"/>
    <x v="5"/>
    <x v="0"/>
    <n v="5"/>
  </r>
  <r>
    <x v="716"/>
    <s v="C0005"/>
    <x v="90"/>
    <x v="4"/>
    <x v="227"/>
    <n v="66"/>
    <x v="9"/>
    <n v="2024"/>
    <x v="5"/>
    <x v="0"/>
    <n v="4"/>
  </r>
  <r>
    <x v="717"/>
    <s v="C0003"/>
    <x v="32"/>
    <x v="0"/>
    <x v="227"/>
    <n v="58"/>
    <x v="2"/>
    <n v="2024"/>
    <x v="5"/>
    <x v="0"/>
    <n v="5"/>
  </r>
  <r>
    <x v="718"/>
    <s v="C0001"/>
    <x v="125"/>
    <x v="4"/>
    <x v="228"/>
    <n v="152"/>
    <x v="12"/>
    <n v="2024"/>
    <x v="6"/>
    <x v="2"/>
    <n v="4"/>
  </r>
  <r>
    <x v="719"/>
    <s v="C0011"/>
    <x v="33"/>
    <x v="3"/>
    <x v="228"/>
    <n v="75"/>
    <x v="3"/>
    <n v="2024"/>
    <x v="6"/>
    <x v="0"/>
    <n v="3"/>
  </r>
  <r>
    <x v="720"/>
    <s v="C0006"/>
    <x v="70"/>
    <x v="1"/>
    <x v="228"/>
    <n v="78"/>
    <x v="9"/>
    <n v="2024"/>
    <x v="6"/>
    <x v="1"/>
    <n v="4"/>
  </r>
  <r>
    <x v="721"/>
    <s v="C0003"/>
    <x v="30"/>
    <x v="2"/>
    <x v="228"/>
    <n v="69"/>
    <x v="10"/>
    <n v="2024"/>
    <x v="6"/>
    <x v="0"/>
    <n v="4"/>
  </r>
  <r>
    <x v="722"/>
    <s v="C0015"/>
    <x v="55"/>
    <x v="0"/>
    <x v="229"/>
    <n v="46"/>
    <x v="22"/>
    <n v="2024"/>
    <x v="0"/>
    <x v="1"/>
    <n v="3"/>
  </r>
  <r>
    <x v="723"/>
    <s v="C0001"/>
    <x v="139"/>
    <x v="4"/>
    <x v="229"/>
    <n v="64"/>
    <x v="34"/>
    <n v="2024"/>
    <x v="0"/>
    <x v="1"/>
    <n v="3"/>
  </r>
  <r>
    <x v="724"/>
    <s v="C0010"/>
    <x v="99"/>
    <x v="1"/>
    <x v="229"/>
    <n v="38"/>
    <x v="2"/>
    <n v="2024"/>
    <x v="0"/>
    <x v="0"/>
    <n v="5"/>
  </r>
  <r>
    <x v="725"/>
    <s v="C0003"/>
    <x v="20"/>
    <x v="1"/>
    <x v="230"/>
    <n v="90"/>
    <x v="12"/>
    <n v="2024"/>
    <x v="2"/>
    <x v="2"/>
    <n v="4"/>
  </r>
  <r>
    <x v="726"/>
    <s v="C0013"/>
    <x v="131"/>
    <x v="1"/>
    <x v="230"/>
    <n v="32"/>
    <x v="11"/>
    <n v="2024"/>
    <x v="2"/>
    <x v="0"/>
    <n v="4"/>
  </r>
  <r>
    <x v="727"/>
    <s v="C0002"/>
    <x v="29"/>
    <x v="4"/>
    <x v="230"/>
    <n v="120"/>
    <x v="5"/>
    <n v="2024"/>
    <x v="2"/>
    <x v="0"/>
    <n v="4"/>
  </r>
  <r>
    <x v="728"/>
    <s v="C0010"/>
    <x v="126"/>
    <x v="1"/>
    <x v="230"/>
    <n v="31"/>
    <x v="10"/>
    <n v="2024"/>
    <x v="2"/>
    <x v="4"/>
    <n v="4"/>
  </r>
  <r>
    <x v="729"/>
    <s v="C0005"/>
    <x v="77"/>
    <x v="4"/>
    <x v="231"/>
    <n v="108"/>
    <x v="0"/>
    <n v="2024"/>
    <x v="3"/>
    <x v="0"/>
    <n v="5"/>
  </r>
  <r>
    <x v="730"/>
    <s v="C0003"/>
    <x v="50"/>
    <x v="4"/>
    <x v="231"/>
    <n v="180"/>
    <x v="18"/>
    <n v="2024"/>
    <x v="3"/>
    <x v="0"/>
    <n v="4"/>
  </r>
  <r>
    <x v="731"/>
    <s v="C0013"/>
    <x v="54"/>
    <x v="2"/>
    <x v="232"/>
    <n v="124"/>
    <x v="9"/>
    <n v="2024"/>
    <x v="4"/>
    <x v="2"/>
    <n v="4"/>
  </r>
  <r>
    <x v="732"/>
    <s v="C0007"/>
    <x v="67"/>
    <x v="2"/>
    <x v="232"/>
    <n v="23"/>
    <x v="18"/>
    <n v="2024"/>
    <x v="4"/>
    <x v="0"/>
    <n v="4"/>
  </r>
  <r>
    <x v="733"/>
    <s v="C0012"/>
    <x v="44"/>
    <x v="0"/>
    <x v="233"/>
    <n v="24"/>
    <x v="4"/>
    <n v="2024"/>
    <x v="5"/>
    <x v="2"/>
    <n v="5"/>
  </r>
  <r>
    <x v="734"/>
    <s v="C0007"/>
    <x v="116"/>
    <x v="1"/>
    <x v="234"/>
    <n v="52"/>
    <x v="31"/>
    <n v="2024"/>
    <x v="6"/>
    <x v="1"/>
    <n v="1"/>
  </r>
  <r>
    <x v="735"/>
    <s v="C0005"/>
    <x v="62"/>
    <x v="0"/>
    <x v="235"/>
    <n v="168"/>
    <x v="9"/>
    <n v="2024"/>
    <x v="0"/>
    <x v="2"/>
    <n v="4"/>
  </r>
  <r>
    <x v="736"/>
    <s v="C0001"/>
    <x v="42"/>
    <x v="4"/>
    <x v="236"/>
    <n v="125"/>
    <x v="4"/>
    <n v="2024"/>
    <x v="2"/>
    <x v="0"/>
    <n v="5"/>
  </r>
  <r>
    <x v="737"/>
    <s v="C0003"/>
    <x v="51"/>
    <x v="0"/>
    <x v="237"/>
    <n v="50"/>
    <x v="18"/>
    <n v="2024"/>
    <x v="3"/>
    <x v="0"/>
    <n v="4"/>
  </r>
  <r>
    <x v="738"/>
    <s v="C0009"/>
    <x v="30"/>
    <x v="1"/>
    <x v="238"/>
    <n v="220"/>
    <x v="19"/>
    <n v="2024"/>
    <x v="4"/>
    <x v="0"/>
    <n v="5"/>
  </r>
  <r>
    <x v="739"/>
    <s v="C0010"/>
    <x v="130"/>
    <x v="0"/>
    <x v="238"/>
    <n v="180"/>
    <x v="9"/>
    <n v="2024"/>
    <x v="4"/>
    <x v="0"/>
    <n v="4"/>
  </r>
  <r>
    <x v="740"/>
    <s v="C0005"/>
    <x v="77"/>
    <x v="1"/>
    <x v="238"/>
    <n v="110"/>
    <x v="10"/>
    <n v="2024"/>
    <x v="4"/>
    <x v="0"/>
    <n v="4"/>
  </r>
  <r>
    <x v="741"/>
    <s v="C0012"/>
    <x v="151"/>
    <x v="0"/>
    <x v="238"/>
    <n v="36"/>
    <x v="3"/>
    <n v="2024"/>
    <x v="4"/>
    <x v="1"/>
    <n v="3"/>
  </r>
  <r>
    <x v="742"/>
    <s v="C0004"/>
    <x v="92"/>
    <x v="2"/>
    <x v="239"/>
    <n v="93"/>
    <x v="2"/>
    <n v="2024"/>
    <x v="5"/>
    <x v="1"/>
    <n v="5"/>
  </r>
  <r>
    <x v="743"/>
    <s v="C0010"/>
    <x v="134"/>
    <x v="0"/>
    <x v="239"/>
    <n v="38"/>
    <x v="18"/>
    <n v="2024"/>
    <x v="5"/>
    <x v="0"/>
    <n v="4"/>
  </r>
  <r>
    <x v="744"/>
    <s v="C0005"/>
    <x v="130"/>
    <x v="2"/>
    <x v="240"/>
    <n v="66"/>
    <x v="10"/>
    <n v="2024"/>
    <x v="6"/>
    <x v="0"/>
    <n v="4"/>
  </r>
  <r>
    <x v="745"/>
    <s v="C0007"/>
    <x v="42"/>
    <x v="0"/>
    <x v="240"/>
    <n v="215"/>
    <x v="19"/>
    <n v="2024"/>
    <x v="6"/>
    <x v="0"/>
    <n v="5"/>
  </r>
  <r>
    <x v="746"/>
    <s v="C0007"/>
    <x v="64"/>
    <x v="2"/>
    <x v="240"/>
    <n v="92"/>
    <x v="12"/>
    <n v="2024"/>
    <x v="6"/>
    <x v="2"/>
    <n v="4"/>
  </r>
  <r>
    <x v="747"/>
    <s v="C0011"/>
    <x v="74"/>
    <x v="0"/>
    <x v="240"/>
    <n v="80"/>
    <x v="6"/>
    <n v="2024"/>
    <x v="6"/>
    <x v="0"/>
    <n v="4"/>
  </r>
  <r>
    <x v="748"/>
    <s v="C0011"/>
    <x v="22"/>
    <x v="0"/>
    <x v="241"/>
    <n v="123"/>
    <x v="0"/>
    <n v="2024"/>
    <x v="0"/>
    <x v="0"/>
    <n v="5"/>
  </r>
  <r>
    <x v="749"/>
    <s v="C0012"/>
    <x v="48"/>
    <x v="3"/>
    <x v="241"/>
    <n v="23"/>
    <x v="21"/>
    <n v="2024"/>
    <x v="0"/>
    <x v="0"/>
    <n v="2"/>
  </r>
  <r>
    <x v="750"/>
    <s v="C0015"/>
    <x v="127"/>
    <x v="1"/>
    <x v="241"/>
    <n v="63"/>
    <x v="18"/>
    <n v="2024"/>
    <x v="0"/>
    <x v="1"/>
    <n v="4"/>
  </r>
  <r>
    <x v="751"/>
    <s v="C0008"/>
    <x v="66"/>
    <x v="4"/>
    <x v="241"/>
    <n v="52"/>
    <x v="10"/>
    <n v="2024"/>
    <x v="0"/>
    <x v="0"/>
    <n v="4"/>
  </r>
  <r>
    <x v="752"/>
    <s v="C0007"/>
    <x v="99"/>
    <x v="4"/>
    <x v="241"/>
    <n v="60"/>
    <x v="18"/>
    <n v="2024"/>
    <x v="0"/>
    <x v="0"/>
    <n v="4"/>
  </r>
  <r>
    <x v="753"/>
    <s v="C0011"/>
    <x v="19"/>
    <x v="2"/>
    <x v="242"/>
    <n v="87"/>
    <x v="10"/>
    <n v="2024"/>
    <x v="1"/>
    <x v="0"/>
    <n v="4"/>
  </r>
  <r>
    <x v="754"/>
    <s v="C0002"/>
    <x v="74"/>
    <x v="0"/>
    <x v="243"/>
    <n v="42"/>
    <x v="14"/>
    <n v="2024"/>
    <x v="2"/>
    <x v="0"/>
    <n v="5"/>
  </r>
  <r>
    <x v="755"/>
    <s v="C0006"/>
    <x v="112"/>
    <x v="1"/>
    <x v="244"/>
    <n v="37"/>
    <x v="11"/>
    <n v="2024"/>
    <x v="3"/>
    <x v="1"/>
    <n v="4"/>
  </r>
  <r>
    <x v="756"/>
    <s v="C0006"/>
    <x v="51"/>
    <x v="3"/>
    <x v="244"/>
    <n v="135"/>
    <x v="10"/>
    <n v="2024"/>
    <x v="3"/>
    <x v="0"/>
    <n v="4"/>
  </r>
  <r>
    <x v="757"/>
    <s v="C0002"/>
    <x v="72"/>
    <x v="3"/>
    <x v="244"/>
    <n v="88"/>
    <x v="2"/>
    <n v="2024"/>
    <x v="3"/>
    <x v="1"/>
    <n v="5"/>
  </r>
  <r>
    <x v="758"/>
    <s v="C0001"/>
    <x v="130"/>
    <x v="1"/>
    <x v="244"/>
    <n v="190"/>
    <x v="23"/>
    <n v="2024"/>
    <x v="3"/>
    <x v="0"/>
    <n v="3"/>
  </r>
  <r>
    <x v="759"/>
    <s v="C0001"/>
    <x v="139"/>
    <x v="3"/>
    <x v="244"/>
    <n v="81"/>
    <x v="13"/>
    <n v="2024"/>
    <x v="3"/>
    <x v="1"/>
    <n v="5"/>
  </r>
  <r>
    <x v="760"/>
    <s v="C0006"/>
    <x v="116"/>
    <x v="1"/>
    <x v="244"/>
    <n v="44"/>
    <x v="20"/>
    <n v="2024"/>
    <x v="3"/>
    <x v="1"/>
    <n v="4"/>
  </r>
  <r>
    <x v="761"/>
    <s v="C0005"/>
    <x v="10"/>
    <x v="3"/>
    <x v="245"/>
    <n v="92"/>
    <x v="10"/>
    <n v="2024"/>
    <x v="4"/>
    <x v="1"/>
    <n v="4"/>
  </r>
  <r>
    <x v="762"/>
    <s v="C0006"/>
    <x v="50"/>
    <x v="0"/>
    <x v="246"/>
    <n v="90"/>
    <x v="22"/>
    <n v="2024"/>
    <x v="5"/>
    <x v="0"/>
    <n v="3"/>
  </r>
  <r>
    <x v="763"/>
    <s v="C0015"/>
    <x v="90"/>
    <x v="3"/>
    <x v="246"/>
    <n v="112"/>
    <x v="26"/>
    <n v="2024"/>
    <x v="5"/>
    <x v="0"/>
    <n v="2"/>
  </r>
  <r>
    <x v="764"/>
    <s v="C0009"/>
    <x v="76"/>
    <x v="1"/>
    <x v="246"/>
    <n v="112"/>
    <x v="19"/>
    <n v="2024"/>
    <x v="5"/>
    <x v="1"/>
    <n v="5"/>
  </r>
  <r>
    <x v="765"/>
    <s v="C0008"/>
    <x v="55"/>
    <x v="2"/>
    <x v="246"/>
    <n v="48"/>
    <x v="20"/>
    <n v="2024"/>
    <x v="5"/>
    <x v="1"/>
    <n v="4"/>
  </r>
  <r>
    <x v="766"/>
    <s v="C0015"/>
    <x v="118"/>
    <x v="1"/>
    <x v="246"/>
    <n v="116"/>
    <x v="5"/>
    <n v="2024"/>
    <x v="5"/>
    <x v="1"/>
    <n v="4"/>
  </r>
  <r>
    <x v="767"/>
    <s v="C0004"/>
    <x v="95"/>
    <x v="1"/>
    <x v="246"/>
    <n v="29"/>
    <x v="15"/>
    <n v="2024"/>
    <x v="5"/>
    <x v="0"/>
    <n v="2"/>
  </r>
  <r>
    <x v="768"/>
    <s v="C0009"/>
    <x v="107"/>
    <x v="3"/>
    <x v="247"/>
    <n v="170"/>
    <x v="30"/>
    <n v="2024"/>
    <x v="6"/>
    <x v="0"/>
    <n v="2"/>
  </r>
  <r>
    <x v="769"/>
    <s v="C0004"/>
    <x v="134"/>
    <x v="4"/>
    <x v="247"/>
    <n v="68"/>
    <x v="7"/>
    <n v="2024"/>
    <x v="6"/>
    <x v="0"/>
    <n v="3"/>
  </r>
  <r>
    <x v="770"/>
    <s v="C0011"/>
    <x v="74"/>
    <x v="0"/>
    <x v="247"/>
    <n v="195"/>
    <x v="34"/>
    <n v="2024"/>
    <x v="6"/>
    <x v="0"/>
    <n v="3"/>
  </r>
  <r>
    <x v="771"/>
    <s v="C0014"/>
    <x v="19"/>
    <x v="0"/>
    <x v="247"/>
    <n v="96"/>
    <x v="20"/>
    <n v="2024"/>
    <x v="6"/>
    <x v="0"/>
    <n v="4"/>
  </r>
  <r>
    <x v="772"/>
    <s v="C0015"/>
    <x v="1"/>
    <x v="0"/>
    <x v="247"/>
    <n v="96"/>
    <x v="22"/>
    <n v="2024"/>
    <x v="6"/>
    <x v="0"/>
    <n v="3"/>
  </r>
  <r>
    <x v="773"/>
    <s v="C0008"/>
    <x v="84"/>
    <x v="2"/>
    <x v="247"/>
    <n v="117"/>
    <x v="17"/>
    <n v="2024"/>
    <x v="6"/>
    <x v="0"/>
    <n v="4"/>
  </r>
  <r>
    <x v="774"/>
    <s v="C0011"/>
    <x v="26"/>
    <x v="3"/>
    <x v="247"/>
    <n v="80"/>
    <x v="4"/>
    <n v="2024"/>
    <x v="6"/>
    <x v="3"/>
    <n v="5"/>
  </r>
  <r>
    <x v="775"/>
    <s v="C0002"/>
    <x v="104"/>
    <x v="4"/>
    <x v="247"/>
    <n v="117"/>
    <x v="9"/>
    <n v="2024"/>
    <x v="6"/>
    <x v="1"/>
    <n v="4"/>
  </r>
  <r>
    <x v="776"/>
    <s v="C0006"/>
    <x v="97"/>
    <x v="0"/>
    <x v="248"/>
    <n v="40"/>
    <x v="35"/>
    <n v="2024"/>
    <x v="0"/>
    <x v="0"/>
    <n v="3"/>
  </r>
  <r>
    <x v="777"/>
    <s v="C0001"/>
    <x v="158"/>
    <x v="4"/>
    <x v="248"/>
    <n v="117"/>
    <x v="4"/>
    <n v="2024"/>
    <x v="0"/>
    <x v="3"/>
    <n v="5"/>
  </r>
  <r>
    <x v="778"/>
    <s v="C0013"/>
    <x v="67"/>
    <x v="3"/>
    <x v="248"/>
    <n v="135"/>
    <x v="17"/>
    <n v="2024"/>
    <x v="0"/>
    <x v="0"/>
    <n v="4"/>
  </r>
  <r>
    <x v="779"/>
    <s v="C0015"/>
    <x v="25"/>
    <x v="1"/>
    <x v="248"/>
    <n v="99"/>
    <x v="18"/>
    <n v="2024"/>
    <x v="0"/>
    <x v="0"/>
    <n v="4"/>
  </r>
  <r>
    <x v="780"/>
    <s v="C0010"/>
    <x v="40"/>
    <x v="2"/>
    <x v="248"/>
    <n v="130"/>
    <x v="16"/>
    <n v="2024"/>
    <x v="0"/>
    <x v="1"/>
    <n v="3"/>
  </r>
  <r>
    <x v="781"/>
    <s v="C0007"/>
    <x v="108"/>
    <x v="4"/>
    <x v="248"/>
    <n v="96"/>
    <x v="2"/>
    <n v="2024"/>
    <x v="0"/>
    <x v="2"/>
    <n v="5"/>
  </r>
  <r>
    <x v="782"/>
    <s v="C0011"/>
    <x v="24"/>
    <x v="2"/>
    <x v="248"/>
    <n v="128"/>
    <x v="20"/>
    <n v="2024"/>
    <x v="0"/>
    <x v="0"/>
    <n v="4"/>
  </r>
  <r>
    <x v="783"/>
    <s v="C0008"/>
    <x v="37"/>
    <x v="0"/>
    <x v="248"/>
    <n v="69"/>
    <x v="2"/>
    <n v="2024"/>
    <x v="0"/>
    <x v="1"/>
    <n v="5"/>
  </r>
  <r>
    <x v="784"/>
    <s v="C0008"/>
    <x v="66"/>
    <x v="0"/>
    <x v="248"/>
    <n v="44"/>
    <x v="19"/>
    <n v="2024"/>
    <x v="0"/>
    <x v="0"/>
    <n v="5"/>
  </r>
  <r>
    <x v="785"/>
    <s v="C0007"/>
    <x v="112"/>
    <x v="0"/>
    <x v="248"/>
    <n v="44"/>
    <x v="4"/>
    <n v="2024"/>
    <x v="0"/>
    <x v="1"/>
    <n v="5"/>
  </r>
  <r>
    <x v="786"/>
    <s v="C0009"/>
    <x v="59"/>
    <x v="4"/>
    <x v="249"/>
    <n v="135"/>
    <x v="26"/>
    <n v="2024"/>
    <x v="1"/>
    <x v="0"/>
    <n v="2"/>
  </r>
  <r>
    <x v="787"/>
    <s v="C0014"/>
    <x v="107"/>
    <x v="2"/>
    <x v="249"/>
    <n v="45"/>
    <x v="10"/>
    <n v="2024"/>
    <x v="1"/>
    <x v="0"/>
    <n v="4"/>
  </r>
  <r>
    <x v="788"/>
    <s v="C0001"/>
    <x v="62"/>
    <x v="2"/>
    <x v="249"/>
    <n v="87"/>
    <x v="35"/>
    <n v="2024"/>
    <x v="1"/>
    <x v="2"/>
    <n v="3"/>
  </r>
  <r>
    <x v="789"/>
    <s v="C0002"/>
    <x v="67"/>
    <x v="3"/>
    <x v="250"/>
    <n v="84"/>
    <x v="19"/>
    <n v="2024"/>
    <x v="2"/>
    <x v="0"/>
    <n v="5"/>
  </r>
  <r>
    <x v="790"/>
    <s v="C0009"/>
    <x v="34"/>
    <x v="0"/>
    <x v="250"/>
    <n v="81"/>
    <x v="11"/>
    <n v="2024"/>
    <x v="2"/>
    <x v="0"/>
    <n v="4"/>
  </r>
  <r>
    <x v="791"/>
    <s v="C0007"/>
    <x v="25"/>
    <x v="1"/>
    <x v="250"/>
    <n v="130"/>
    <x v="5"/>
    <n v="2024"/>
    <x v="2"/>
    <x v="0"/>
    <n v="4"/>
  </r>
  <r>
    <x v="792"/>
    <s v="C0011"/>
    <x v="96"/>
    <x v="0"/>
    <x v="251"/>
    <n v="92"/>
    <x v="21"/>
    <n v="2024"/>
    <x v="3"/>
    <x v="0"/>
    <n v="2"/>
  </r>
  <r>
    <x v="793"/>
    <s v="C0012"/>
    <x v="82"/>
    <x v="3"/>
    <x v="251"/>
    <n v="48"/>
    <x v="14"/>
    <n v="2024"/>
    <x v="3"/>
    <x v="2"/>
    <n v="5"/>
  </r>
  <r>
    <x v="794"/>
    <s v="C0014"/>
    <x v="6"/>
    <x v="4"/>
    <x v="251"/>
    <n v="160"/>
    <x v="14"/>
    <n v="2024"/>
    <x v="3"/>
    <x v="0"/>
    <n v="5"/>
  </r>
  <r>
    <x v="795"/>
    <s v="C0013"/>
    <x v="87"/>
    <x v="3"/>
    <x v="252"/>
    <n v="155"/>
    <x v="34"/>
    <n v="2024"/>
    <x v="4"/>
    <x v="1"/>
    <n v="3"/>
  </r>
  <r>
    <x v="796"/>
    <s v="C0010"/>
    <x v="117"/>
    <x v="1"/>
    <x v="252"/>
    <n v="100"/>
    <x v="0"/>
    <n v="2024"/>
    <x v="4"/>
    <x v="0"/>
    <n v="5"/>
  </r>
  <r>
    <x v="797"/>
    <s v="C0009"/>
    <x v="46"/>
    <x v="2"/>
    <x v="252"/>
    <n v="56"/>
    <x v="20"/>
    <n v="2024"/>
    <x v="4"/>
    <x v="0"/>
    <n v="4"/>
  </r>
  <r>
    <x v="798"/>
    <s v="C0011"/>
    <x v="159"/>
    <x v="0"/>
    <x v="252"/>
    <n v="170"/>
    <x v="10"/>
    <n v="2024"/>
    <x v="4"/>
    <x v="4"/>
    <n v="4"/>
  </r>
  <r>
    <x v="799"/>
    <s v="C0001"/>
    <x v="67"/>
    <x v="4"/>
    <x v="253"/>
    <n v="74"/>
    <x v="8"/>
    <n v="2024"/>
    <x v="5"/>
    <x v="0"/>
    <n v="4"/>
  </r>
  <r>
    <x v="800"/>
    <s v="C0006"/>
    <x v="53"/>
    <x v="0"/>
    <x v="253"/>
    <n v="99"/>
    <x v="34"/>
    <n v="2024"/>
    <x v="5"/>
    <x v="0"/>
    <n v="3"/>
  </r>
  <r>
    <x v="801"/>
    <s v="C0007"/>
    <x v="31"/>
    <x v="3"/>
    <x v="253"/>
    <n v="84"/>
    <x v="10"/>
    <n v="2024"/>
    <x v="5"/>
    <x v="0"/>
    <n v="4"/>
  </r>
  <r>
    <x v="802"/>
    <s v="C0006"/>
    <x v="104"/>
    <x v="0"/>
    <x v="253"/>
    <n v="35"/>
    <x v="7"/>
    <n v="2024"/>
    <x v="5"/>
    <x v="1"/>
    <n v="3"/>
  </r>
  <r>
    <x v="803"/>
    <s v="C0004"/>
    <x v="83"/>
    <x v="2"/>
    <x v="253"/>
    <n v="150"/>
    <x v="13"/>
    <n v="2024"/>
    <x v="5"/>
    <x v="0"/>
    <n v="5"/>
  </r>
  <r>
    <x v="804"/>
    <s v="C0005"/>
    <x v="17"/>
    <x v="4"/>
    <x v="254"/>
    <n v="176"/>
    <x v="5"/>
    <n v="2024"/>
    <x v="6"/>
    <x v="2"/>
    <n v="4"/>
  </r>
  <r>
    <x v="805"/>
    <s v="C0005"/>
    <x v="31"/>
    <x v="4"/>
    <x v="254"/>
    <n v="84"/>
    <x v="12"/>
    <n v="2024"/>
    <x v="6"/>
    <x v="0"/>
    <n v="4"/>
  </r>
  <r>
    <x v="806"/>
    <s v="C0007"/>
    <x v="131"/>
    <x v="4"/>
    <x v="254"/>
    <n v="136"/>
    <x v="2"/>
    <n v="2024"/>
    <x v="6"/>
    <x v="0"/>
    <n v="5"/>
  </r>
  <r>
    <x v="807"/>
    <s v="C0011"/>
    <x v="124"/>
    <x v="4"/>
    <x v="255"/>
    <n v="70"/>
    <x v="17"/>
    <n v="2024"/>
    <x v="0"/>
    <x v="1"/>
    <n v="4"/>
  </r>
  <r>
    <x v="808"/>
    <s v="C0002"/>
    <x v="157"/>
    <x v="2"/>
    <x v="255"/>
    <n v="96"/>
    <x v="4"/>
    <n v="2024"/>
    <x v="0"/>
    <x v="3"/>
    <n v="5"/>
  </r>
  <r>
    <x v="809"/>
    <s v="C0005"/>
    <x v="69"/>
    <x v="2"/>
    <x v="255"/>
    <n v="23"/>
    <x v="18"/>
    <n v="2024"/>
    <x v="0"/>
    <x v="0"/>
    <n v="4"/>
  </r>
  <r>
    <x v="810"/>
    <s v="C0013"/>
    <x v="30"/>
    <x v="4"/>
    <x v="256"/>
    <n v="120"/>
    <x v="7"/>
    <n v="2024"/>
    <x v="1"/>
    <x v="0"/>
    <n v="3"/>
  </r>
  <r>
    <x v="811"/>
    <s v="C0012"/>
    <x v="108"/>
    <x v="4"/>
    <x v="256"/>
    <n v="205"/>
    <x v="16"/>
    <n v="2024"/>
    <x v="1"/>
    <x v="2"/>
    <n v="3"/>
  </r>
  <r>
    <x v="812"/>
    <s v="C0009"/>
    <x v="103"/>
    <x v="1"/>
    <x v="257"/>
    <n v="42"/>
    <x v="11"/>
    <n v="2024"/>
    <x v="2"/>
    <x v="2"/>
    <n v="4"/>
  </r>
  <r>
    <x v="813"/>
    <s v="C0011"/>
    <x v="1"/>
    <x v="3"/>
    <x v="257"/>
    <n v="111"/>
    <x v="10"/>
    <n v="2024"/>
    <x v="2"/>
    <x v="0"/>
    <n v="4"/>
  </r>
  <r>
    <x v="814"/>
    <s v="C0014"/>
    <x v="130"/>
    <x v="4"/>
    <x v="257"/>
    <n v="68"/>
    <x v="25"/>
    <n v="2024"/>
    <x v="2"/>
    <x v="0"/>
    <n v="3"/>
  </r>
  <r>
    <x v="815"/>
    <s v="C0001"/>
    <x v="47"/>
    <x v="0"/>
    <x v="257"/>
    <n v="172"/>
    <x v="0"/>
    <n v="2024"/>
    <x v="2"/>
    <x v="0"/>
    <n v="5"/>
  </r>
  <r>
    <x v="816"/>
    <s v="C0015"/>
    <x v="44"/>
    <x v="4"/>
    <x v="257"/>
    <n v="152"/>
    <x v="4"/>
    <n v="2024"/>
    <x v="2"/>
    <x v="2"/>
    <n v="5"/>
  </r>
  <r>
    <x v="817"/>
    <s v="C0015"/>
    <x v="31"/>
    <x v="1"/>
    <x v="257"/>
    <n v="48"/>
    <x v="2"/>
    <n v="2024"/>
    <x v="2"/>
    <x v="0"/>
    <n v="5"/>
  </r>
  <r>
    <x v="818"/>
    <s v="C0010"/>
    <x v="71"/>
    <x v="1"/>
    <x v="257"/>
    <n v="25"/>
    <x v="2"/>
    <n v="2024"/>
    <x v="2"/>
    <x v="2"/>
    <n v="5"/>
  </r>
  <r>
    <x v="819"/>
    <s v="C0014"/>
    <x v="5"/>
    <x v="3"/>
    <x v="258"/>
    <n v="54"/>
    <x v="16"/>
    <n v="2024"/>
    <x v="3"/>
    <x v="0"/>
    <n v="3"/>
  </r>
  <r>
    <x v="820"/>
    <s v="C0014"/>
    <x v="124"/>
    <x v="2"/>
    <x v="258"/>
    <n v="108"/>
    <x v="2"/>
    <n v="2024"/>
    <x v="3"/>
    <x v="1"/>
    <n v="5"/>
  </r>
  <r>
    <x v="821"/>
    <s v="C0008"/>
    <x v="53"/>
    <x v="4"/>
    <x v="258"/>
    <n v="36"/>
    <x v="14"/>
    <n v="2024"/>
    <x v="3"/>
    <x v="0"/>
    <n v="5"/>
  </r>
  <r>
    <x v="822"/>
    <s v="C0003"/>
    <x v="134"/>
    <x v="1"/>
    <x v="259"/>
    <n v="140"/>
    <x v="19"/>
    <n v="2024"/>
    <x v="4"/>
    <x v="0"/>
    <n v="5"/>
  </r>
  <r>
    <x v="823"/>
    <s v="C0005"/>
    <x v="116"/>
    <x v="3"/>
    <x v="259"/>
    <n v="50"/>
    <x v="4"/>
    <n v="2024"/>
    <x v="4"/>
    <x v="1"/>
    <n v="5"/>
  </r>
  <r>
    <x v="824"/>
    <s v="C0008"/>
    <x v="134"/>
    <x v="0"/>
    <x v="259"/>
    <n v="195"/>
    <x v="12"/>
    <n v="2024"/>
    <x v="4"/>
    <x v="0"/>
    <n v="4"/>
  </r>
  <r>
    <x v="825"/>
    <s v="C0005"/>
    <x v="12"/>
    <x v="1"/>
    <x v="260"/>
    <n v="48"/>
    <x v="2"/>
    <n v="2024"/>
    <x v="5"/>
    <x v="1"/>
    <n v="5"/>
  </r>
  <r>
    <x v="826"/>
    <s v="C0010"/>
    <x v="55"/>
    <x v="4"/>
    <x v="261"/>
    <n v="29"/>
    <x v="4"/>
    <n v="2024"/>
    <x v="6"/>
    <x v="1"/>
    <n v="5"/>
  </r>
  <r>
    <x v="827"/>
    <s v="C0003"/>
    <x v="130"/>
    <x v="0"/>
    <x v="261"/>
    <n v="44"/>
    <x v="2"/>
    <n v="2024"/>
    <x v="6"/>
    <x v="0"/>
    <n v="5"/>
  </r>
  <r>
    <x v="828"/>
    <s v="C0004"/>
    <x v="35"/>
    <x v="2"/>
    <x v="261"/>
    <n v="140"/>
    <x v="12"/>
    <n v="2024"/>
    <x v="6"/>
    <x v="1"/>
    <n v="4"/>
  </r>
  <r>
    <x v="829"/>
    <s v="C0001"/>
    <x v="19"/>
    <x v="2"/>
    <x v="261"/>
    <n v="105"/>
    <x v="11"/>
    <n v="2024"/>
    <x v="6"/>
    <x v="0"/>
    <n v="4"/>
  </r>
  <r>
    <x v="830"/>
    <s v="C0007"/>
    <x v="118"/>
    <x v="2"/>
    <x v="261"/>
    <n v="82"/>
    <x v="19"/>
    <n v="2024"/>
    <x v="6"/>
    <x v="1"/>
    <n v="5"/>
  </r>
  <r>
    <x v="831"/>
    <s v="C0003"/>
    <x v="123"/>
    <x v="0"/>
    <x v="261"/>
    <n v="24"/>
    <x v="1"/>
    <n v="2024"/>
    <x v="6"/>
    <x v="3"/>
    <n v="3"/>
  </r>
  <r>
    <x v="832"/>
    <s v="C0011"/>
    <x v="37"/>
    <x v="4"/>
    <x v="262"/>
    <n v="205"/>
    <x v="4"/>
    <n v="2024"/>
    <x v="0"/>
    <x v="1"/>
    <n v="5"/>
  </r>
  <r>
    <x v="833"/>
    <s v="C0004"/>
    <x v="108"/>
    <x v="1"/>
    <x v="262"/>
    <n v="225"/>
    <x v="0"/>
    <n v="2024"/>
    <x v="0"/>
    <x v="2"/>
    <n v="5"/>
  </r>
  <r>
    <x v="834"/>
    <s v="C0011"/>
    <x v="95"/>
    <x v="4"/>
    <x v="262"/>
    <n v="50"/>
    <x v="7"/>
    <n v="2024"/>
    <x v="0"/>
    <x v="0"/>
    <n v="3"/>
  </r>
  <r>
    <x v="835"/>
    <s v="C0011"/>
    <x v="71"/>
    <x v="2"/>
    <x v="262"/>
    <n v="80"/>
    <x v="12"/>
    <n v="2024"/>
    <x v="0"/>
    <x v="2"/>
    <n v="4"/>
  </r>
  <r>
    <x v="836"/>
    <s v="C0007"/>
    <x v="120"/>
    <x v="1"/>
    <x v="262"/>
    <n v="78"/>
    <x v="10"/>
    <n v="2024"/>
    <x v="0"/>
    <x v="0"/>
    <n v="4"/>
  </r>
  <r>
    <x v="837"/>
    <s v="C0014"/>
    <x v="122"/>
    <x v="4"/>
    <x v="263"/>
    <n v="40"/>
    <x v="10"/>
    <n v="2024"/>
    <x v="1"/>
    <x v="1"/>
    <n v="4"/>
  </r>
  <r>
    <x v="838"/>
    <s v="C0007"/>
    <x v="120"/>
    <x v="1"/>
    <x v="263"/>
    <n v="176"/>
    <x v="38"/>
    <n v="2024"/>
    <x v="1"/>
    <x v="0"/>
    <n v="2"/>
  </r>
  <r>
    <x v="839"/>
    <s v="C0015"/>
    <x v="6"/>
    <x v="4"/>
    <x v="263"/>
    <n v="78"/>
    <x v="35"/>
    <n v="2024"/>
    <x v="1"/>
    <x v="0"/>
    <n v="3"/>
  </r>
  <r>
    <x v="840"/>
    <s v="C0008"/>
    <x v="81"/>
    <x v="1"/>
    <x v="263"/>
    <n v="42"/>
    <x v="18"/>
    <n v="2024"/>
    <x v="1"/>
    <x v="2"/>
    <n v="4"/>
  </r>
  <r>
    <x v="841"/>
    <s v="C0014"/>
    <x v="78"/>
    <x v="4"/>
    <x v="263"/>
    <n v="38"/>
    <x v="20"/>
    <n v="2024"/>
    <x v="1"/>
    <x v="3"/>
    <n v="4"/>
  </r>
  <r>
    <x v="842"/>
    <s v="C0005"/>
    <x v="69"/>
    <x v="3"/>
    <x v="263"/>
    <n v="27"/>
    <x v="18"/>
    <n v="2024"/>
    <x v="1"/>
    <x v="0"/>
    <n v="4"/>
  </r>
  <r>
    <x v="843"/>
    <s v="C0007"/>
    <x v="65"/>
    <x v="0"/>
    <x v="264"/>
    <n v="45"/>
    <x v="5"/>
    <n v="2024"/>
    <x v="2"/>
    <x v="1"/>
    <n v="4"/>
  </r>
  <r>
    <x v="844"/>
    <s v="C0013"/>
    <x v="74"/>
    <x v="4"/>
    <x v="264"/>
    <n v="215"/>
    <x v="9"/>
    <n v="2024"/>
    <x v="2"/>
    <x v="0"/>
    <n v="4"/>
  </r>
  <r>
    <x v="845"/>
    <s v="C0010"/>
    <x v="23"/>
    <x v="4"/>
    <x v="265"/>
    <n v="72"/>
    <x v="2"/>
    <n v="2024"/>
    <x v="3"/>
    <x v="1"/>
    <n v="5"/>
  </r>
  <r>
    <x v="846"/>
    <s v="C0014"/>
    <x v="160"/>
    <x v="2"/>
    <x v="265"/>
    <n v="160"/>
    <x v="3"/>
    <n v="2024"/>
    <x v="3"/>
    <x v="1"/>
    <n v="3"/>
  </r>
  <r>
    <x v="847"/>
    <s v="C0010"/>
    <x v="76"/>
    <x v="4"/>
    <x v="265"/>
    <n v="165"/>
    <x v="25"/>
    <n v="2024"/>
    <x v="3"/>
    <x v="1"/>
    <n v="3"/>
  </r>
  <r>
    <x v="848"/>
    <s v="C0004"/>
    <x v="146"/>
    <x v="2"/>
    <x v="265"/>
    <n v="120"/>
    <x v="7"/>
    <n v="2024"/>
    <x v="3"/>
    <x v="0"/>
    <n v="3"/>
  </r>
  <r>
    <x v="849"/>
    <s v="C0003"/>
    <x v="122"/>
    <x v="1"/>
    <x v="265"/>
    <n v="117"/>
    <x v="4"/>
    <n v="2024"/>
    <x v="3"/>
    <x v="1"/>
    <n v="5"/>
  </r>
  <r>
    <x v="850"/>
    <s v="C0002"/>
    <x v="94"/>
    <x v="3"/>
    <x v="266"/>
    <n v="29"/>
    <x v="12"/>
    <n v="2024"/>
    <x v="4"/>
    <x v="1"/>
    <n v="4"/>
  </r>
  <r>
    <x v="851"/>
    <s v="C0003"/>
    <x v="54"/>
    <x v="2"/>
    <x v="266"/>
    <n v="64"/>
    <x v="14"/>
    <n v="2024"/>
    <x v="4"/>
    <x v="2"/>
    <n v="5"/>
  </r>
  <r>
    <x v="852"/>
    <s v="C0015"/>
    <x v="62"/>
    <x v="1"/>
    <x v="266"/>
    <n v="84"/>
    <x v="6"/>
    <n v="2024"/>
    <x v="4"/>
    <x v="2"/>
    <n v="4"/>
  </r>
  <r>
    <x v="853"/>
    <s v="C0013"/>
    <x v="55"/>
    <x v="4"/>
    <x v="266"/>
    <n v="42"/>
    <x v="20"/>
    <n v="2024"/>
    <x v="4"/>
    <x v="1"/>
    <n v="4"/>
  </r>
  <r>
    <x v="854"/>
    <s v="C0014"/>
    <x v="30"/>
    <x v="4"/>
    <x v="266"/>
    <n v="120"/>
    <x v="8"/>
    <n v="2024"/>
    <x v="4"/>
    <x v="0"/>
    <n v="4"/>
  </r>
  <r>
    <x v="855"/>
    <s v="C0015"/>
    <x v="116"/>
    <x v="3"/>
    <x v="267"/>
    <n v="80"/>
    <x v="2"/>
    <n v="2024"/>
    <x v="5"/>
    <x v="1"/>
    <n v="5"/>
  </r>
  <r>
    <x v="856"/>
    <s v="C0002"/>
    <x v="28"/>
    <x v="2"/>
    <x v="267"/>
    <n v="185"/>
    <x v="8"/>
    <n v="2024"/>
    <x v="5"/>
    <x v="0"/>
    <n v="4"/>
  </r>
  <r>
    <x v="857"/>
    <s v="C0011"/>
    <x v="73"/>
    <x v="0"/>
    <x v="268"/>
    <n v="135"/>
    <x v="10"/>
    <n v="2024"/>
    <x v="6"/>
    <x v="2"/>
    <n v="4"/>
  </r>
  <r>
    <x v="858"/>
    <s v="C0011"/>
    <x v="113"/>
    <x v="2"/>
    <x v="268"/>
    <n v="20"/>
    <x v="4"/>
    <n v="2024"/>
    <x v="6"/>
    <x v="0"/>
    <n v="5"/>
  </r>
  <r>
    <x v="859"/>
    <s v="C0012"/>
    <x v="101"/>
    <x v="2"/>
    <x v="268"/>
    <n v="31"/>
    <x v="9"/>
    <n v="2024"/>
    <x v="6"/>
    <x v="2"/>
    <n v="4"/>
  </r>
  <r>
    <x v="860"/>
    <s v="C0008"/>
    <x v="17"/>
    <x v="3"/>
    <x v="269"/>
    <n v="120"/>
    <x v="2"/>
    <n v="2024"/>
    <x v="0"/>
    <x v="2"/>
    <n v="5"/>
  </r>
  <r>
    <x v="861"/>
    <s v="C0004"/>
    <x v="22"/>
    <x v="1"/>
    <x v="269"/>
    <n v="117"/>
    <x v="6"/>
    <n v="2024"/>
    <x v="0"/>
    <x v="0"/>
    <n v="4"/>
  </r>
  <r>
    <x v="862"/>
    <s v="C0008"/>
    <x v="77"/>
    <x v="4"/>
    <x v="269"/>
    <n v="80"/>
    <x v="14"/>
    <n v="2024"/>
    <x v="0"/>
    <x v="0"/>
    <n v="5"/>
  </r>
  <r>
    <x v="863"/>
    <s v="C0008"/>
    <x v="39"/>
    <x v="0"/>
    <x v="270"/>
    <n v="117"/>
    <x v="9"/>
    <n v="2024"/>
    <x v="1"/>
    <x v="2"/>
    <n v="4"/>
  </r>
  <r>
    <x v="864"/>
    <s v="C0002"/>
    <x v="74"/>
    <x v="3"/>
    <x v="270"/>
    <n v="60"/>
    <x v="14"/>
    <n v="2024"/>
    <x v="1"/>
    <x v="0"/>
    <n v="5"/>
  </r>
  <r>
    <x v="865"/>
    <s v="C0011"/>
    <x v="79"/>
    <x v="4"/>
    <x v="271"/>
    <n v="58"/>
    <x v="10"/>
    <n v="2024"/>
    <x v="2"/>
    <x v="3"/>
    <n v="4"/>
  </r>
  <r>
    <x v="866"/>
    <s v="C0012"/>
    <x v="113"/>
    <x v="0"/>
    <x v="271"/>
    <n v="41"/>
    <x v="12"/>
    <n v="2024"/>
    <x v="2"/>
    <x v="0"/>
    <n v="4"/>
  </r>
  <r>
    <x v="867"/>
    <s v="C0014"/>
    <x v="21"/>
    <x v="1"/>
    <x v="271"/>
    <n v="180"/>
    <x v="6"/>
    <n v="2024"/>
    <x v="2"/>
    <x v="0"/>
    <n v="4"/>
  </r>
  <r>
    <x v="868"/>
    <s v="C0001"/>
    <x v="69"/>
    <x v="1"/>
    <x v="271"/>
    <n v="42"/>
    <x v="6"/>
    <n v="2024"/>
    <x v="2"/>
    <x v="0"/>
    <n v="4"/>
  </r>
  <r>
    <x v="869"/>
    <s v="C0001"/>
    <x v="2"/>
    <x v="1"/>
    <x v="272"/>
    <n v="24"/>
    <x v="9"/>
    <n v="2024"/>
    <x v="3"/>
    <x v="0"/>
    <n v="4"/>
  </r>
  <r>
    <x v="870"/>
    <s v="C0012"/>
    <x v="58"/>
    <x v="1"/>
    <x v="272"/>
    <n v="125"/>
    <x v="18"/>
    <n v="2024"/>
    <x v="3"/>
    <x v="0"/>
    <n v="4"/>
  </r>
  <r>
    <x v="871"/>
    <s v="C0012"/>
    <x v="99"/>
    <x v="0"/>
    <x v="273"/>
    <n v="78"/>
    <x v="12"/>
    <n v="2024"/>
    <x v="4"/>
    <x v="0"/>
    <n v="4"/>
  </r>
  <r>
    <x v="872"/>
    <s v="C0009"/>
    <x v="66"/>
    <x v="2"/>
    <x v="273"/>
    <n v="180"/>
    <x v="11"/>
    <n v="2024"/>
    <x v="4"/>
    <x v="0"/>
    <n v="4"/>
  </r>
  <r>
    <x v="873"/>
    <s v="C0013"/>
    <x v="161"/>
    <x v="0"/>
    <x v="273"/>
    <n v="84"/>
    <x v="5"/>
    <n v="2024"/>
    <x v="4"/>
    <x v="1"/>
    <n v="4"/>
  </r>
  <r>
    <x v="874"/>
    <s v="C0011"/>
    <x v="98"/>
    <x v="0"/>
    <x v="273"/>
    <n v="26"/>
    <x v="2"/>
    <n v="2024"/>
    <x v="4"/>
    <x v="3"/>
    <n v="5"/>
  </r>
  <r>
    <x v="875"/>
    <s v="C0004"/>
    <x v="30"/>
    <x v="0"/>
    <x v="274"/>
    <n v="140"/>
    <x v="6"/>
    <n v="2024"/>
    <x v="5"/>
    <x v="0"/>
    <n v="4"/>
  </r>
  <r>
    <x v="876"/>
    <s v="C0014"/>
    <x v="156"/>
    <x v="2"/>
    <x v="274"/>
    <n v="31"/>
    <x v="30"/>
    <n v="2024"/>
    <x v="5"/>
    <x v="0"/>
    <n v="2"/>
  </r>
  <r>
    <x v="877"/>
    <s v="C0002"/>
    <x v="113"/>
    <x v="2"/>
    <x v="274"/>
    <n v="108"/>
    <x v="4"/>
    <n v="2024"/>
    <x v="5"/>
    <x v="0"/>
    <n v="5"/>
  </r>
  <r>
    <x v="878"/>
    <s v="C0013"/>
    <x v="70"/>
    <x v="3"/>
    <x v="275"/>
    <n v="58"/>
    <x v="12"/>
    <n v="2024"/>
    <x v="6"/>
    <x v="1"/>
    <n v="4"/>
  </r>
  <r>
    <x v="879"/>
    <s v="C0013"/>
    <x v="90"/>
    <x v="2"/>
    <x v="275"/>
    <n v="185"/>
    <x v="30"/>
    <n v="2024"/>
    <x v="6"/>
    <x v="0"/>
    <n v="2"/>
  </r>
  <r>
    <x v="880"/>
    <s v="C0013"/>
    <x v="53"/>
    <x v="2"/>
    <x v="275"/>
    <n v="40"/>
    <x v="4"/>
    <n v="2024"/>
    <x v="6"/>
    <x v="0"/>
    <n v="5"/>
  </r>
  <r>
    <x v="881"/>
    <s v="C0013"/>
    <x v="157"/>
    <x v="4"/>
    <x v="275"/>
    <n v="225"/>
    <x v="27"/>
    <n v="2024"/>
    <x v="6"/>
    <x v="3"/>
    <n v="3"/>
  </r>
  <r>
    <x v="882"/>
    <s v="C0014"/>
    <x v="41"/>
    <x v="3"/>
    <x v="275"/>
    <n v="150"/>
    <x v="27"/>
    <n v="2024"/>
    <x v="6"/>
    <x v="0"/>
    <n v="3"/>
  </r>
  <r>
    <x v="883"/>
    <s v="C0010"/>
    <x v="50"/>
    <x v="1"/>
    <x v="276"/>
    <n v="88"/>
    <x v="7"/>
    <n v="2024"/>
    <x v="0"/>
    <x v="0"/>
    <n v="3"/>
  </r>
  <r>
    <x v="884"/>
    <s v="C0006"/>
    <x v="103"/>
    <x v="0"/>
    <x v="276"/>
    <n v="140"/>
    <x v="20"/>
    <n v="2024"/>
    <x v="0"/>
    <x v="2"/>
    <n v="4"/>
  </r>
  <r>
    <x v="885"/>
    <s v="C0010"/>
    <x v="52"/>
    <x v="1"/>
    <x v="276"/>
    <n v="68"/>
    <x v="15"/>
    <n v="2024"/>
    <x v="0"/>
    <x v="1"/>
    <n v="2"/>
  </r>
  <r>
    <x v="886"/>
    <s v="C0004"/>
    <x v="7"/>
    <x v="4"/>
    <x v="277"/>
    <n v="105"/>
    <x v="6"/>
    <n v="2024"/>
    <x v="1"/>
    <x v="2"/>
    <n v="4"/>
  </r>
  <r>
    <x v="887"/>
    <s v="C0001"/>
    <x v="112"/>
    <x v="0"/>
    <x v="277"/>
    <n v="40"/>
    <x v="11"/>
    <n v="2024"/>
    <x v="1"/>
    <x v="1"/>
    <n v="4"/>
  </r>
  <r>
    <x v="888"/>
    <s v="C0009"/>
    <x v="84"/>
    <x v="0"/>
    <x v="277"/>
    <n v="82"/>
    <x v="22"/>
    <n v="2024"/>
    <x v="1"/>
    <x v="0"/>
    <n v="3"/>
  </r>
  <r>
    <x v="889"/>
    <s v="C0003"/>
    <x v="96"/>
    <x v="4"/>
    <x v="278"/>
    <n v="90"/>
    <x v="5"/>
    <n v="2024"/>
    <x v="2"/>
    <x v="0"/>
    <n v="4"/>
  </r>
  <r>
    <x v="890"/>
    <s v="C0005"/>
    <x v="133"/>
    <x v="3"/>
    <x v="279"/>
    <n v="66"/>
    <x v="4"/>
    <n v="2024"/>
    <x v="3"/>
    <x v="1"/>
    <n v="5"/>
  </r>
  <r>
    <x v="891"/>
    <s v="C0008"/>
    <x v="63"/>
    <x v="1"/>
    <x v="279"/>
    <n v="78"/>
    <x v="8"/>
    <n v="2024"/>
    <x v="3"/>
    <x v="0"/>
    <n v="4"/>
  </r>
  <r>
    <x v="892"/>
    <s v="C0014"/>
    <x v="6"/>
    <x v="3"/>
    <x v="280"/>
    <n v="66"/>
    <x v="5"/>
    <n v="2024"/>
    <x v="4"/>
    <x v="0"/>
    <n v="4"/>
  </r>
  <r>
    <x v="893"/>
    <s v="C0001"/>
    <x v="108"/>
    <x v="4"/>
    <x v="281"/>
    <n v="160"/>
    <x v="11"/>
    <n v="2024"/>
    <x v="5"/>
    <x v="2"/>
    <n v="4"/>
  </r>
  <r>
    <x v="894"/>
    <s v="C0012"/>
    <x v="59"/>
    <x v="0"/>
    <x v="282"/>
    <n v="144"/>
    <x v="11"/>
    <n v="2024"/>
    <x v="6"/>
    <x v="0"/>
    <n v="4"/>
  </r>
  <r>
    <x v="895"/>
    <s v="C0001"/>
    <x v="141"/>
    <x v="2"/>
    <x v="282"/>
    <n v="200"/>
    <x v="19"/>
    <n v="2024"/>
    <x v="6"/>
    <x v="0"/>
    <n v="5"/>
  </r>
  <r>
    <x v="896"/>
    <s v="C0007"/>
    <x v="143"/>
    <x v="1"/>
    <x v="283"/>
    <n v="220"/>
    <x v="13"/>
    <n v="2024"/>
    <x v="1"/>
    <x v="2"/>
    <n v="5"/>
  </r>
  <r>
    <x v="897"/>
    <s v="C0014"/>
    <x v="28"/>
    <x v="3"/>
    <x v="284"/>
    <n v="112"/>
    <x v="23"/>
    <n v="2024"/>
    <x v="2"/>
    <x v="0"/>
    <n v="3"/>
  </r>
  <r>
    <x v="898"/>
    <s v="C0005"/>
    <x v="129"/>
    <x v="4"/>
    <x v="284"/>
    <n v="110"/>
    <x v="20"/>
    <n v="2024"/>
    <x v="2"/>
    <x v="0"/>
    <n v="4"/>
  </r>
  <r>
    <x v="899"/>
    <s v="C0015"/>
    <x v="33"/>
    <x v="0"/>
    <x v="285"/>
    <n v="160"/>
    <x v="34"/>
    <n v="2024"/>
    <x v="3"/>
    <x v="0"/>
    <n v="3"/>
  </r>
  <r>
    <x v="900"/>
    <s v="C0015"/>
    <x v="78"/>
    <x v="4"/>
    <x v="285"/>
    <n v="84"/>
    <x v="9"/>
    <n v="2024"/>
    <x v="3"/>
    <x v="3"/>
    <n v="4"/>
  </r>
  <r>
    <x v="901"/>
    <s v="C0005"/>
    <x v="108"/>
    <x v="1"/>
    <x v="285"/>
    <n v="124"/>
    <x v="27"/>
    <n v="2024"/>
    <x v="3"/>
    <x v="2"/>
    <n v="3"/>
  </r>
  <r>
    <x v="902"/>
    <s v="C0015"/>
    <x v="89"/>
    <x v="2"/>
    <x v="285"/>
    <n v="84"/>
    <x v="19"/>
    <n v="2024"/>
    <x v="3"/>
    <x v="1"/>
    <n v="5"/>
  </r>
  <r>
    <x v="903"/>
    <s v="C0004"/>
    <x v="130"/>
    <x v="3"/>
    <x v="286"/>
    <n v="130"/>
    <x v="34"/>
    <n v="2024"/>
    <x v="4"/>
    <x v="0"/>
    <n v="3"/>
  </r>
  <r>
    <x v="904"/>
    <s v="C0012"/>
    <x v="55"/>
    <x v="0"/>
    <x v="286"/>
    <n v="215"/>
    <x v="8"/>
    <n v="2024"/>
    <x v="4"/>
    <x v="1"/>
    <n v="4"/>
  </r>
  <r>
    <x v="905"/>
    <s v="C0014"/>
    <x v="50"/>
    <x v="1"/>
    <x v="287"/>
    <n v="132"/>
    <x v="6"/>
    <n v="2024"/>
    <x v="5"/>
    <x v="0"/>
    <n v="4"/>
  </r>
  <r>
    <x v="906"/>
    <s v="C0010"/>
    <x v="34"/>
    <x v="3"/>
    <x v="287"/>
    <n v="88"/>
    <x v="0"/>
    <n v="2024"/>
    <x v="5"/>
    <x v="0"/>
    <n v="5"/>
  </r>
  <r>
    <x v="907"/>
    <s v="C0003"/>
    <x v="48"/>
    <x v="1"/>
    <x v="287"/>
    <n v="140"/>
    <x v="10"/>
    <n v="2024"/>
    <x v="5"/>
    <x v="0"/>
    <n v="4"/>
  </r>
  <r>
    <x v="908"/>
    <s v="C0015"/>
    <x v="5"/>
    <x v="3"/>
    <x v="288"/>
    <n v="66"/>
    <x v="2"/>
    <n v="2024"/>
    <x v="6"/>
    <x v="0"/>
    <n v="5"/>
  </r>
  <r>
    <x v="909"/>
    <s v="C0002"/>
    <x v="34"/>
    <x v="0"/>
    <x v="288"/>
    <n v="23"/>
    <x v="14"/>
    <n v="2024"/>
    <x v="6"/>
    <x v="0"/>
    <n v="5"/>
  </r>
  <r>
    <x v="910"/>
    <s v="C0010"/>
    <x v="148"/>
    <x v="0"/>
    <x v="289"/>
    <n v="220"/>
    <x v="14"/>
    <n v="2024"/>
    <x v="0"/>
    <x v="1"/>
    <n v="5"/>
  </r>
  <r>
    <x v="911"/>
    <s v="C0013"/>
    <x v="63"/>
    <x v="4"/>
    <x v="290"/>
    <n v="175"/>
    <x v="5"/>
    <n v="2024"/>
    <x v="1"/>
    <x v="0"/>
    <n v="4"/>
  </r>
  <r>
    <x v="912"/>
    <s v="C0001"/>
    <x v="25"/>
    <x v="0"/>
    <x v="290"/>
    <n v="172"/>
    <x v="17"/>
    <n v="2024"/>
    <x v="1"/>
    <x v="0"/>
    <n v="4"/>
  </r>
  <r>
    <x v="913"/>
    <s v="C0009"/>
    <x v="129"/>
    <x v="2"/>
    <x v="290"/>
    <n v="108"/>
    <x v="11"/>
    <n v="2024"/>
    <x v="1"/>
    <x v="0"/>
    <n v="4"/>
  </r>
  <r>
    <x v="914"/>
    <s v="C0002"/>
    <x v="121"/>
    <x v="0"/>
    <x v="291"/>
    <n v="43"/>
    <x v="18"/>
    <n v="2024"/>
    <x v="2"/>
    <x v="2"/>
    <n v="4"/>
  </r>
  <r>
    <x v="915"/>
    <s v="C0010"/>
    <x v="40"/>
    <x v="1"/>
    <x v="291"/>
    <n v="44"/>
    <x v="30"/>
    <n v="2024"/>
    <x v="2"/>
    <x v="1"/>
    <n v="2"/>
  </r>
  <r>
    <x v="916"/>
    <s v="C0001"/>
    <x v="87"/>
    <x v="4"/>
    <x v="291"/>
    <n v="105"/>
    <x v="10"/>
    <n v="2024"/>
    <x v="2"/>
    <x v="1"/>
    <n v="4"/>
  </r>
  <r>
    <x v="917"/>
    <s v="C0013"/>
    <x v="97"/>
    <x v="1"/>
    <x v="292"/>
    <n v="34"/>
    <x v="10"/>
    <n v="2024"/>
    <x v="3"/>
    <x v="0"/>
    <n v="4"/>
  </r>
  <r>
    <x v="918"/>
    <s v="C0011"/>
    <x v="117"/>
    <x v="0"/>
    <x v="292"/>
    <n v="220"/>
    <x v="17"/>
    <n v="2024"/>
    <x v="3"/>
    <x v="0"/>
    <n v="4"/>
  </r>
  <r>
    <x v="919"/>
    <s v="C0003"/>
    <x v="90"/>
    <x v="4"/>
    <x v="292"/>
    <n v="225"/>
    <x v="19"/>
    <n v="2024"/>
    <x v="3"/>
    <x v="0"/>
    <n v="5"/>
  </r>
  <r>
    <x v="920"/>
    <s v="C0005"/>
    <x v="93"/>
    <x v="4"/>
    <x v="293"/>
    <n v="37"/>
    <x v="17"/>
    <n v="2024"/>
    <x v="4"/>
    <x v="2"/>
    <n v="4"/>
  </r>
  <r>
    <x v="921"/>
    <s v="C0012"/>
    <x v="47"/>
    <x v="1"/>
    <x v="293"/>
    <n v="44"/>
    <x v="13"/>
    <n v="2024"/>
    <x v="4"/>
    <x v="0"/>
    <n v="5"/>
  </r>
  <r>
    <x v="922"/>
    <s v="C0007"/>
    <x v="17"/>
    <x v="1"/>
    <x v="294"/>
    <n v="35"/>
    <x v="3"/>
    <n v="2024"/>
    <x v="5"/>
    <x v="2"/>
    <n v="3"/>
  </r>
  <r>
    <x v="923"/>
    <s v="C0012"/>
    <x v="17"/>
    <x v="0"/>
    <x v="294"/>
    <n v="145"/>
    <x v="34"/>
    <n v="2024"/>
    <x v="5"/>
    <x v="2"/>
    <n v="3"/>
  </r>
  <r>
    <x v="924"/>
    <s v="C0010"/>
    <x v="51"/>
    <x v="4"/>
    <x v="294"/>
    <n v="64"/>
    <x v="10"/>
    <n v="2024"/>
    <x v="5"/>
    <x v="0"/>
    <n v="4"/>
  </r>
  <r>
    <x v="925"/>
    <s v="C0012"/>
    <x v="107"/>
    <x v="0"/>
    <x v="295"/>
    <n v="185"/>
    <x v="12"/>
    <n v="2024"/>
    <x v="6"/>
    <x v="0"/>
    <n v="4"/>
  </r>
  <r>
    <x v="926"/>
    <s v="C0014"/>
    <x v="74"/>
    <x v="1"/>
    <x v="295"/>
    <n v="215"/>
    <x v="25"/>
    <n v="2024"/>
    <x v="6"/>
    <x v="0"/>
    <n v="3"/>
  </r>
  <r>
    <x v="927"/>
    <s v="C0002"/>
    <x v="7"/>
    <x v="2"/>
    <x v="295"/>
    <n v="88"/>
    <x v="7"/>
    <n v="2024"/>
    <x v="6"/>
    <x v="2"/>
    <n v="3"/>
  </r>
  <r>
    <x v="928"/>
    <s v="C0012"/>
    <x v="99"/>
    <x v="4"/>
    <x v="295"/>
    <n v="23"/>
    <x v="7"/>
    <n v="2024"/>
    <x v="6"/>
    <x v="0"/>
    <n v="3"/>
  </r>
  <r>
    <x v="929"/>
    <s v="C0005"/>
    <x v="54"/>
    <x v="2"/>
    <x v="296"/>
    <n v="180"/>
    <x v="32"/>
    <n v="2024"/>
    <x v="0"/>
    <x v="2"/>
    <n v="2"/>
  </r>
  <r>
    <x v="930"/>
    <s v="C0001"/>
    <x v="53"/>
    <x v="4"/>
    <x v="297"/>
    <n v="225"/>
    <x v="20"/>
    <n v="2024"/>
    <x v="1"/>
    <x v="0"/>
    <n v="4"/>
  </r>
  <r>
    <x v="931"/>
    <s v="C0011"/>
    <x v="137"/>
    <x v="1"/>
    <x v="298"/>
    <n v="74"/>
    <x v="17"/>
    <n v="2024"/>
    <x v="2"/>
    <x v="3"/>
    <n v="4"/>
  </r>
  <r>
    <x v="932"/>
    <s v="C0014"/>
    <x v="119"/>
    <x v="4"/>
    <x v="298"/>
    <n v="36"/>
    <x v="35"/>
    <n v="2024"/>
    <x v="2"/>
    <x v="1"/>
    <n v="3"/>
  </r>
  <r>
    <x v="933"/>
    <s v="C0007"/>
    <x v="15"/>
    <x v="4"/>
    <x v="299"/>
    <n v="116"/>
    <x v="10"/>
    <n v="2024"/>
    <x v="4"/>
    <x v="0"/>
    <n v="4"/>
  </r>
  <r>
    <x v="934"/>
    <s v="C0014"/>
    <x v="67"/>
    <x v="2"/>
    <x v="299"/>
    <n v="140"/>
    <x v="9"/>
    <n v="2024"/>
    <x v="4"/>
    <x v="0"/>
    <n v="4"/>
  </r>
  <r>
    <x v="935"/>
    <s v="C0014"/>
    <x v="9"/>
    <x v="1"/>
    <x v="300"/>
    <n v="104"/>
    <x v="14"/>
    <n v="2024"/>
    <x v="5"/>
    <x v="0"/>
    <n v="5"/>
  </r>
  <r>
    <x v="936"/>
    <s v="C0007"/>
    <x v="119"/>
    <x v="3"/>
    <x v="300"/>
    <n v="148"/>
    <x v="9"/>
    <n v="2024"/>
    <x v="5"/>
    <x v="1"/>
    <n v="4"/>
  </r>
  <r>
    <x v="937"/>
    <s v="C0002"/>
    <x v="108"/>
    <x v="4"/>
    <x v="300"/>
    <n v="205"/>
    <x v="12"/>
    <n v="2024"/>
    <x v="5"/>
    <x v="2"/>
    <n v="4"/>
  </r>
  <r>
    <x v="938"/>
    <s v="C0004"/>
    <x v="132"/>
    <x v="0"/>
    <x v="300"/>
    <n v="210"/>
    <x v="4"/>
    <n v="2024"/>
    <x v="5"/>
    <x v="3"/>
    <n v="5"/>
  </r>
  <r>
    <x v="939"/>
    <s v="C0011"/>
    <x v="38"/>
    <x v="3"/>
    <x v="301"/>
    <n v="41"/>
    <x v="2"/>
    <n v="2024"/>
    <x v="0"/>
    <x v="0"/>
    <n v="5"/>
  </r>
  <r>
    <x v="940"/>
    <s v="C0015"/>
    <x v="74"/>
    <x v="2"/>
    <x v="301"/>
    <n v="136"/>
    <x v="13"/>
    <n v="2024"/>
    <x v="0"/>
    <x v="0"/>
    <n v="5"/>
  </r>
  <r>
    <x v="941"/>
    <s v="C0009"/>
    <x v="45"/>
    <x v="1"/>
    <x v="302"/>
    <n v="126"/>
    <x v="38"/>
    <n v="2024"/>
    <x v="1"/>
    <x v="0"/>
    <n v="2"/>
  </r>
  <r>
    <x v="942"/>
    <s v="C0005"/>
    <x v="24"/>
    <x v="0"/>
    <x v="303"/>
    <n v="148"/>
    <x v="17"/>
    <n v="2024"/>
    <x v="2"/>
    <x v="0"/>
    <n v="4"/>
  </r>
  <r>
    <x v="943"/>
    <s v="C0009"/>
    <x v="72"/>
    <x v="1"/>
    <x v="303"/>
    <n v="125"/>
    <x v="10"/>
    <n v="2024"/>
    <x v="2"/>
    <x v="1"/>
    <n v="4"/>
  </r>
  <r>
    <x v="944"/>
    <s v="C0010"/>
    <x v="144"/>
    <x v="2"/>
    <x v="303"/>
    <n v="25"/>
    <x v="17"/>
    <n v="2024"/>
    <x v="2"/>
    <x v="2"/>
    <n v="4"/>
  </r>
  <r>
    <x v="945"/>
    <s v="C0013"/>
    <x v="162"/>
    <x v="4"/>
    <x v="304"/>
    <n v="62"/>
    <x v="3"/>
    <n v="2024"/>
    <x v="3"/>
    <x v="4"/>
    <n v="3"/>
  </r>
  <r>
    <x v="946"/>
    <s v="C0005"/>
    <x v="115"/>
    <x v="2"/>
    <x v="305"/>
    <n v="90"/>
    <x v="19"/>
    <n v="2024"/>
    <x v="4"/>
    <x v="1"/>
    <n v="5"/>
  </r>
  <r>
    <x v="947"/>
    <s v="C0004"/>
    <x v="116"/>
    <x v="3"/>
    <x v="306"/>
    <n v="33"/>
    <x v="4"/>
    <n v="2024"/>
    <x v="5"/>
    <x v="1"/>
    <n v="5"/>
  </r>
  <r>
    <x v="948"/>
    <s v="C0014"/>
    <x v="42"/>
    <x v="4"/>
    <x v="306"/>
    <n v="115"/>
    <x v="24"/>
    <n v="2024"/>
    <x v="5"/>
    <x v="0"/>
    <n v="2"/>
  </r>
  <r>
    <x v="949"/>
    <s v="C0004"/>
    <x v="122"/>
    <x v="3"/>
    <x v="306"/>
    <n v="45"/>
    <x v="27"/>
    <n v="2024"/>
    <x v="5"/>
    <x v="1"/>
    <n v="3"/>
  </r>
  <r>
    <x v="950"/>
    <s v="C0010"/>
    <x v="156"/>
    <x v="0"/>
    <x v="306"/>
    <n v="114"/>
    <x v="4"/>
    <n v="2024"/>
    <x v="5"/>
    <x v="0"/>
    <n v="5"/>
  </r>
  <r>
    <x v="951"/>
    <s v="C0014"/>
    <x v="9"/>
    <x v="1"/>
    <x v="307"/>
    <n v="72"/>
    <x v="20"/>
    <n v="2024"/>
    <x v="6"/>
    <x v="0"/>
    <n v="4"/>
  </r>
  <r>
    <x v="952"/>
    <s v="C0006"/>
    <x v="63"/>
    <x v="0"/>
    <x v="307"/>
    <n v="205"/>
    <x v="18"/>
    <n v="2024"/>
    <x v="6"/>
    <x v="0"/>
    <n v="4"/>
  </r>
  <r>
    <x v="953"/>
    <s v="C0004"/>
    <x v="40"/>
    <x v="1"/>
    <x v="308"/>
    <n v="42"/>
    <x v="16"/>
    <n v="2024"/>
    <x v="0"/>
    <x v="1"/>
    <n v="3"/>
  </r>
  <r>
    <x v="954"/>
    <s v="C0013"/>
    <x v="122"/>
    <x v="0"/>
    <x v="308"/>
    <n v="96"/>
    <x v="12"/>
    <n v="2024"/>
    <x v="0"/>
    <x v="1"/>
    <n v="4"/>
  </r>
  <r>
    <x v="955"/>
    <s v="C0014"/>
    <x v="145"/>
    <x v="4"/>
    <x v="308"/>
    <n v="64"/>
    <x v="20"/>
    <n v="2024"/>
    <x v="0"/>
    <x v="2"/>
    <n v="4"/>
  </r>
  <r>
    <x v="956"/>
    <s v="C0006"/>
    <x v="50"/>
    <x v="0"/>
    <x v="309"/>
    <n v="72"/>
    <x v="20"/>
    <n v="2024"/>
    <x v="1"/>
    <x v="0"/>
    <n v="4"/>
  </r>
  <r>
    <x v="957"/>
    <s v="C0010"/>
    <x v="18"/>
    <x v="3"/>
    <x v="310"/>
    <n v="27"/>
    <x v="22"/>
    <n v="2024"/>
    <x v="2"/>
    <x v="2"/>
    <n v="3"/>
  </r>
  <r>
    <x v="958"/>
    <s v="C0013"/>
    <x v="67"/>
    <x v="3"/>
    <x v="311"/>
    <n v="200"/>
    <x v="21"/>
    <n v="2024"/>
    <x v="4"/>
    <x v="0"/>
    <n v="2"/>
  </r>
  <r>
    <x v="959"/>
    <s v="C0010"/>
    <x v="128"/>
    <x v="1"/>
    <x v="312"/>
    <n v="93"/>
    <x v="8"/>
    <n v="2024"/>
    <x v="5"/>
    <x v="3"/>
    <n v="4"/>
  </r>
  <r>
    <x v="960"/>
    <s v="C0012"/>
    <x v="54"/>
    <x v="4"/>
    <x v="312"/>
    <n v="54"/>
    <x v="12"/>
    <n v="2024"/>
    <x v="5"/>
    <x v="2"/>
    <n v="4"/>
  </r>
  <r>
    <x v="961"/>
    <s v="C0010"/>
    <x v="6"/>
    <x v="1"/>
    <x v="313"/>
    <n v="72"/>
    <x v="7"/>
    <n v="2024"/>
    <x v="6"/>
    <x v="0"/>
    <n v="3"/>
  </r>
  <r>
    <x v="962"/>
    <s v="C0009"/>
    <x v="47"/>
    <x v="2"/>
    <x v="313"/>
    <n v="82"/>
    <x v="20"/>
    <n v="2024"/>
    <x v="6"/>
    <x v="0"/>
    <n v="4"/>
  </r>
  <r>
    <x v="963"/>
    <s v="C0012"/>
    <x v="74"/>
    <x v="4"/>
    <x v="314"/>
    <n v="164"/>
    <x v="4"/>
    <n v="2024"/>
    <x v="3"/>
    <x v="0"/>
    <n v="5"/>
  </r>
  <r>
    <x v="964"/>
    <s v="C0005"/>
    <x v="30"/>
    <x v="1"/>
    <x v="314"/>
    <n v="78"/>
    <x v="16"/>
    <n v="2024"/>
    <x v="3"/>
    <x v="0"/>
    <n v="3"/>
  </r>
  <r>
    <x v="965"/>
    <s v="C0006"/>
    <x v="109"/>
    <x v="3"/>
    <x v="315"/>
    <n v="135"/>
    <x v="18"/>
    <n v="2024"/>
    <x v="4"/>
    <x v="2"/>
    <n v="4"/>
  </r>
  <r>
    <x v="966"/>
    <s v="C0008"/>
    <x v="76"/>
    <x v="4"/>
    <x v="316"/>
    <n v="145"/>
    <x v="27"/>
    <n v="2024"/>
    <x v="5"/>
    <x v="1"/>
    <n v="3"/>
  </r>
  <r>
    <x v="967"/>
    <s v="C0007"/>
    <x v="74"/>
    <x v="3"/>
    <x v="316"/>
    <n v="115"/>
    <x v="0"/>
    <n v="2024"/>
    <x v="5"/>
    <x v="0"/>
    <n v="5"/>
  </r>
  <r>
    <x v="968"/>
    <s v="C0001"/>
    <x v="89"/>
    <x v="1"/>
    <x v="316"/>
    <n v="117"/>
    <x v="26"/>
    <n v="2024"/>
    <x v="5"/>
    <x v="1"/>
    <n v="2"/>
  </r>
  <r>
    <x v="969"/>
    <s v="C0008"/>
    <x v="119"/>
    <x v="0"/>
    <x v="317"/>
    <n v="36"/>
    <x v="2"/>
    <n v="2024"/>
    <x v="6"/>
    <x v="1"/>
    <n v="5"/>
  </r>
  <r>
    <x v="970"/>
    <s v="C0005"/>
    <x v="64"/>
    <x v="0"/>
    <x v="317"/>
    <n v="84"/>
    <x v="3"/>
    <n v="2024"/>
    <x v="6"/>
    <x v="2"/>
    <n v="3"/>
  </r>
  <r>
    <x v="971"/>
    <s v="C0002"/>
    <x v="56"/>
    <x v="0"/>
    <x v="317"/>
    <n v="66"/>
    <x v="23"/>
    <n v="2024"/>
    <x v="6"/>
    <x v="1"/>
    <n v="3"/>
  </r>
  <r>
    <x v="972"/>
    <s v="C0010"/>
    <x v="52"/>
    <x v="3"/>
    <x v="317"/>
    <n v="76"/>
    <x v="2"/>
    <n v="2024"/>
    <x v="6"/>
    <x v="1"/>
    <n v="5"/>
  </r>
  <r>
    <x v="973"/>
    <s v="C0015"/>
    <x v="116"/>
    <x v="3"/>
    <x v="317"/>
    <n v="185"/>
    <x v="4"/>
    <n v="2024"/>
    <x v="6"/>
    <x v="1"/>
    <n v="5"/>
  </r>
  <r>
    <x v="974"/>
    <s v="C0005"/>
    <x v="116"/>
    <x v="2"/>
    <x v="318"/>
    <n v="80"/>
    <x v="2"/>
    <n v="2024"/>
    <x v="0"/>
    <x v="1"/>
    <n v="5"/>
  </r>
  <r>
    <x v="975"/>
    <s v="C0013"/>
    <x v="81"/>
    <x v="3"/>
    <x v="318"/>
    <n v="148"/>
    <x v="9"/>
    <n v="2024"/>
    <x v="0"/>
    <x v="2"/>
    <n v="4"/>
  </r>
  <r>
    <x v="976"/>
    <s v="C0005"/>
    <x v="5"/>
    <x v="4"/>
    <x v="319"/>
    <n v="180"/>
    <x v="0"/>
    <n v="2024"/>
    <x v="2"/>
    <x v="0"/>
    <n v="5"/>
  </r>
  <r>
    <x v="977"/>
    <s v="C0009"/>
    <x v="134"/>
    <x v="2"/>
    <x v="320"/>
    <n v="190"/>
    <x v="20"/>
    <n v="2024"/>
    <x v="3"/>
    <x v="0"/>
    <n v="4"/>
  </r>
  <r>
    <x v="978"/>
    <s v="C0011"/>
    <x v="107"/>
    <x v="3"/>
    <x v="320"/>
    <n v="38"/>
    <x v="14"/>
    <n v="2024"/>
    <x v="3"/>
    <x v="0"/>
    <n v="5"/>
  </r>
  <r>
    <x v="979"/>
    <s v="C0007"/>
    <x v="77"/>
    <x v="1"/>
    <x v="321"/>
    <n v="82"/>
    <x v="15"/>
    <n v="2024"/>
    <x v="4"/>
    <x v="0"/>
    <n v="2"/>
  </r>
  <r>
    <x v="980"/>
    <s v="C0008"/>
    <x v="34"/>
    <x v="3"/>
    <x v="322"/>
    <n v="88"/>
    <x v="3"/>
    <n v="2024"/>
    <x v="0"/>
    <x v="0"/>
    <n v="3"/>
  </r>
  <r>
    <x v="981"/>
    <s v="C0014"/>
    <x v="129"/>
    <x v="4"/>
    <x v="322"/>
    <n v="42"/>
    <x v="17"/>
    <n v="2024"/>
    <x v="0"/>
    <x v="0"/>
    <n v="4"/>
  </r>
  <r>
    <x v="982"/>
    <s v="C0006"/>
    <x v="163"/>
    <x v="0"/>
    <x v="323"/>
    <n v="64"/>
    <x v="16"/>
    <n v="2024"/>
    <x v="1"/>
    <x v="4"/>
    <n v="3"/>
  </r>
  <r>
    <x v="983"/>
    <s v="C0013"/>
    <x v="115"/>
    <x v="0"/>
    <x v="323"/>
    <n v="105"/>
    <x v="42"/>
    <n v="2024"/>
    <x v="1"/>
    <x v="1"/>
    <n v="2"/>
  </r>
  <r>
    <x v="984"/>
    <s v="C0004"/>
    <x v="20"/>
    <x v="2"/>
    <x v="323"/>
    <n v="25"/>
    <x v="6"/>
    <n v="2024"/>
    <x v="1"/>
    <x v="2"/>
    <n v="4"/>
  </r>
  <r>
    <x v="985"/>
    <s v="C0003"/>
    <x v="31"/>
    <x v="1"/>
    <x v="324"/>
    <n v="176"/>
    <x v="6"/>
    <n v="2024"/>
    <x v="2"/>
    <x v="0"/>
    <n v="4"/>
  </r>
  <r>
    <x v="986"/>
    <s v="C0003"/>
    <x v="32"/>
    <x v="3"/>
    <x v="325"/>
    <n v="46"/>
    <x v="19"/>
    <n v="2024"/>
    <x v="3"/>
    <x v="0"/>
    <n v="5"/>
  </r>
  <r>
    <x v="987"/>
    <s v="C0009"/>
    <x v="113"/>
    <x v="0"/>
    <x v="325"/>
    <n v="164"/>
    <x v="4"/>
    <n v="2024"/>
    <x v="3"/>
    <x v="0"/>
    <n v="5"/>
  </r>
  <r>
    <x v="988"/>
    <s v="C0006"/>
    <x v="55"/>
    <x v="0"/>
    <x v="326"/>
    <n v="64"/>
    <x v="14"/>
    <n v="2024"/>
    <x v="4"/>
    <x v="1"/>
    <n v="5"/>
  </r>
  <r>
    <x v="989"/>
    <s v="C0002"/>
    <x v="96"/>
    <x v="4"/>
    <x v="326"/>
    <n v="205"/>
    <x v="14"/>
    <n v="2024"/>
    <x v="4"/>
    <x v="0"/>
    <n v="5"/>
  </r>
  <r>
    <x v="990"/>
    <s v="C0005"/>
    <x v="155"/>
    <x v="4"/>
    <x v="327"/>
    <n v="100"/>
    <x v="19"/>
    <n v="2024"/>
    <x v="5"/>
    <x v="1"/>
    <n v="5"/>
  </r>
  <r>
    <x v="991"/>
    <s v="C0011"/>
    <x v="101"/>
    <x v="1"/>
    <x v="327"/>
    <n v="111"/>
    <x v="19"/>
    <n v="2024"/>
    <x v="5"/>
    <x v="2"/>
    <n v="5"/>
  </r>
  <r>
    <x v="992"/>
    <s v="C0014"/>
    <x v="77"/>
    <x v="2"/>
    <x v="327"/>
    <n v="80"/>
    <x v="8"/>
    <n v="2024"/>
    <x v="5"/>
    <x v="0"/>
    <n v="4"/>
  </r>
  <r>
    <x v="993"/>
    <s v="C0006"/>
    <x v="48"/>
    <x v="3"/>
    <x v="327"/>
    <n v="50"/>
    <x v="1"/>
    <n v="2024"/>
    <x v="5"/>
    <x v="0"/>
    <n v="3"/>
  </r>
  <r>
    <x v="994"/>
    <s v="C0014"/>
    <x v="97"/>
    <x v="0"/>
    <x v="328"/>
    <n v="165"/>
    <x v="2"/>
    <n v="2024"/>
    <x v="6"/>
    <x v="0"/>
    <n v="5"/>
  </r>
  <r>
    <x v="995"/>
    <s v="C0002"/>
    <x v="22"/>
    <x v="0"/>
    <x v="328"/>
    <n v="28"/>
    <x v="10"/>
    <n v="2024"/>
    <x v="6"/>
    <x v="0"/>
    <n v="4"/>
  </r>
  <r>
    <x v="996"/>
    <s v="C0007"/>
    <x v="76"/>
    <x v="3"/>
    <x v="328"/>
    <n v="215"/>
    <x v="11"/>
    <n v="2024"/>
    <x v="6"/>
    <x v="1"/>
    <n v="4"/>
  </r>
  <r>
    <x v="997"/>
    <s v="C0013"/>
    <x v="148"/>
    <x v="0"/>
    <x v="329"/>
    <n v="115"/>
    <x v="24"/>
    <n v="2024"/>
    <x v="0"/>
    <x v="1"/>
    <n v="2"/>
  </r>
  <r>
    <x v="998"/>
    <s v="C0010"/>
    <x v="114"/>
    <x v="0"/>
    <x v="329"/>
    <n v="64"/>
    <x v="20"/>
    <n v="2024"/>
    <x v="0"/>
    <x v="1"/>
    <n v="4"/>
  </r>
  <r>
    <x v="999"/>
    <s v="C0009"/>
    <x v="59"/>
    <x v="2"/>
    <x v="329"/>
    <n v="40"/>
    <x v="10"/>
    <n v="2024"/>
    <x v="0"/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9F6AB-340F-41F9-9691-5FFE274ECD2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B10:AC16" firstHeaderRow="1" firstDataRow="1" firstDataCol="1"/>
  <pivotFields count="13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165">
        <item x="162"/>
        <item x="159"/>
        <item x="91"/>
        <item x="163"/>
        <item x="126"/>
        <item x="154"/>
        <item x="100"/>
        <item x="158"/>
        <item x="36"/>
        <item x="140"/>
        <item x="138"/>
        <item x="132"/>
        <item x="157"/>
        <item x="79"/>
        <item x="105"/>
        <item x="98"/>
        <item x="123"/>
        <item x="135"/>
        <item x="128"/>
        <item x="137"/>
        <item x="80"/>
        <item x="16"/>
        <item x="26"/>
        <item x="78"/>
        <item x="7"/>
        <item x="81"/>
        <item x="147"/>
        <item x="144"/>
        <item x="142"/>
        <item x="125"/>
        <item x="39"/>
        <item x="18"/>
        <item x="121"/>
        <item x="101"/>
        <item x="103"/>
        <item x="60"/>
        <item x="62"/>
        <item x="8"/>
        <item x="64"/>
        <item x="109"/>
        <item x="68"/>
        <item x="13"/>
        <item x="4"/>
        <item x="54"/>
        <item x="145"/>
        <item x="143"/>
        <item x="93"/>
        <item x="17"/>
        <item x="71"/>
        <item x="108"/>
        <item x="82"/>
        <item x="20"/>
        <item x="44"/>
        <item x="73"/>
        <item x="84"/>
        <item x="63"/>
        <item x="47"/>
        <item x="90"/>
        <item x="83"/>
        <item x="131"/>
        <item x="19"/>
        <item x="2"/>
        <item x="53"/>
        <item x="95"/>
        <item x="51"/>
        <item x="113"/>
        <item x="21"/>
        <item x="33"/>
        <item x="29"/>
        <item x="77"/>
        <item x="120"/>
        <item x="67"/>
        <item x="42"/>
        <item x="24"/>
        <item x="22"/>
        <item x="25"/>
        <item x="45"/>
        <item x="5"/>
        <item x="106"/>
        <item x="96"/>
        <item x="69"/>
        <item x="117"/>
        <item x="34"/>
        <item x="31"/>
        <item x="129"/>
        <item x="102"/>
        <item x="107"/>
        <item x="30"/>
        <item x="48"/>
        <item x="74"/>
        <item x="156"/>
        <item x="11"/>
        <item x="15"/>
        <item x="41"/>
        <item x="58"/>
        <item x="9"/>
        <item x="6"/>
        <item x="38"/>
        <item x="28"/>
        <item x="32"/>
        <item x="99"/>
        <item x="130"/>
        <item x="66"/>
        <item x="50"/>
        <item x="75"/>
        <item x="141"/>
        <item x="97"/>
        <item x="59"/>
        <item x="86"/>
        <item x="0"/>
        <item x="146"/>
        <item x="46"/>
        <item x="1"/>
        <item x="134"/>
        <item x="110"/>
        <item x="150"/>
        <item x="114"/>
        <item x="55"/>
        <item x="118"/>
        <item x="116"/>
        <item x="76"/>
        <item x="3"/>
        <item x="92"/>
        <item x="49"/>
        <item x="37"/>
        <item x="35"/>
        <item x="122"/>
        <item x="104"/>
        <item x="10"/>
        <item x="151"/>
        <item x="65"/>
        <item x="87"/>
        <item x="12"/>
        <item x="115"/>
        <item x="56"/>
        <item x="112"/>
        <item x="70"/>
        <item x="111"/>
        <item x="61"/>
        <item x="148"/>
        <item x="52"/>
        <item x="149"/>
        <item x="40"/>
        <item x="124"/>
        <item x="89"/>
        <item x="72"/>
        <item x="88"/>
        <item x="85"/>
        <item x="23"/>
        <item x="139"/>
        <item x="43"/>
        <item x="119"/>
        <item x="127"/>
        <item x="27"/>
        <item x="153"/>
        <item x="136"/>
        <item x="155"/>
        <item x="133"/>
        <item x="94"/>
        <item x="57"/>
        <item x="161"/>
        <item x="152"/>
        <item x="160"/>
        <item x="14"/>
        <item t="default"/>
      </items>
    </pivotField>
    <pivotField axis="axisRow" showAll="0" sortType="descending">
      <items count="6">
        <item x="2"/>
        <item x="1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dataField="1" showAll="0"/>
    <pivotField showAll="0">
      <items count="44">
        <item x="28"/>
        <item x="36"/>
        <item x="41"/>
        <item x="33"/>
        <item x="31"/>
        <item x="39"/>
        <item x="40"/>
        <item x="38"/>
        <item x="37"/>
        <item x="42"/>
        <item x="32"/>
        <item x="29"/>
        <item x="26"/>
        <item x="15"/>
        <item x="30"/>
        <item x="24"/>
        <item x="21"/>
        <item x="25"/>
        <item x="27"/>
        <item x="34"/>
        <item x="3"/>
        <item x="1"/>
        <item x="35"/>
        <item x="22"/>
        <item x="23"/>
        <item x="16"/>
        <item x="7"/>
        <item x="8"/>
        <item x="6"/>
        <item x="20"/>
        <item x="11"/>
        <item x="10"/>
        <item x="9"/>
        <item x="17"/>
        <item x="18"/>
        <item x="12"/>
        <item x="5"/>
        <item x="14"/>
        <item x="19"/>
        <item x="2"/>
        <item x="4"/>
        <item x="0"/>
        <item x="13"/>
        <item t="default"/>
      </items>
    </pivotField>
    <pivotField showAll="0"/>
    <pivotField showAll="0"/>
    <pivotField showAll="0">
      <items count="6">
        <item x="0"/>
        <item x="3"/>
        <item x="2"/>
        <item x="1"/>
        <item x="4"/>
        <item t="default"/>
      </items>
    </pivotField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3"/>
  </rowFields>
  <rowItems count="6">
    <i>
      <x v="2"/>
    </i>
    <i>
      <x v="1"/>
    </i>
    <i>
      <x v="4"/>
    </i>
    <i>
      <x/>
    </i>
    <i>
      <x v="3"/>
    </i>
    <i t="grand">
      <x/>
    </i>
  </rowItems>
  <colItems count="1">
    <i/>
  </colItems>
  <dataFields count="1">
    <dataField name="Sum of Purchase Amount" fld="5" baseField="0" baseItem="0" numFmtId="1"/>
  </dataFields>
  <formats count="1">
    <format dxfId="9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841A5-D80B-4CB5-BFBE-CB314DCDDFBA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9:Y15" firstHeaderRow="0" firstDataRow="1" firstDataCol="1"/>
  <pivotFields count="13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dataField="1" showAll="0">
      <items count="165">
        <item x="162"/>
        <item x="159"/>
        <item x="91"/>
        <item x="163"/>
        <item x="126"/>
        <item x="154"/>
        <item x="100"/>
        <item x="158"/>
        <item x="36"/>
        <item x="140"/>
        <item x="138"/>
        <item x="132"/>
        <item x="157"/>
        <item x="79"/>
        <item x="105"/>
        <item x="98"/>
        <item x="123"/>
        <item x="135"/>
        <item x="128"/>
        <item x="137"/>
        <item x="80"/>
        <item x="16"/>
        <item x="26"/>
        <item x="78"/>
        <item x="7"/>
        <item x="81"/>
        <item x="147"/>
        <item x="144"/>
        <item x="142"/>
        <item x="125"/>
        <item x="39"/>
        <item x="18"/>
        <item x="121"/>
        <item x="101"/>
        <item x="103"/>
        <item x="60"/>
        <item x="62"/>
        <item x="8"/>
        <item x="64"/>
        <item x="109"/>
        <item x="68"/>
        <item x="13"/>
        <item x="4"/>
        <item x="54"/>
        <item x="145"/>
        <item x="143"/>
        <item x="93"/>
        <item x="17"/>
        <item x="71"/>
        <item x="108"/>
        <item x="82"/>
        <item x="20"/>
        <item x="44"/>
        <item x="73"/>
        <item x="84"/>
        <item x="63"/>
        <item x="47"/>
        <item x="90"/>
        <item x="83"/>
        <item x="131"/>
        <item x="19"/>
        <item x="2"/>
        <item x="53"/>
        <item x="95"/>
        <item x="51"/>
        <item x="113"/>
        <item x="21"/>
        <item x="33"/>
        <item x="29"/>
        <item x="77"/>
        <item x="120"/>
        <item x="67"/>
        <item x="42"/>
        <item x="24"/>
        <item x="22"/>
        <item x="25"/>
        <item x="45"/>
        <item x="5"/>
        <item x="106"/>
        <item x="96"/>
        <item x="69"/>
        <item x="117"/>
        <item x="34"/>
        <item x="31"/>
        <item x="129"/>
        <item x="102"/>
        <item x="107"/>
        <item x="30"/>
        <item x="48"/>
        <item x="74"/>
        <item x="156"/>
        <item x="11"/>
        <item x="15"/>
        <item x="41"/>
        <item x="58"/>
        <item x="9"/>
        <item x="6"/>
        <item x="38"/>
        <item x="28"/>
        <item x="32"/>
        <item x="99"/>
        <item x="130"/>
        <item x="66"/>
        <item x="50"/>
        <item x="75"/>
        <item x="141"/>
        <item x="97"/>
        <item x="59"/>
        <item x="86"/>
        <item x="0"/>
        <item x="146"/>
        <item x="46"/>
        <item x="1"/>
        <item x="134"/>
        <item x="110"/>
        <item x="150"/>
        <item x="114"/>
        <item x="55"/>
        <item x="118"/>
        <item x="116"/>
        <item x="76"/>
        <item x="3"/>
        <item x="92"/>
        <item x="49"/>
        <item x="37"/>
        <item x="35"/>
        <item x="122"/>
        <item x="104"/>
        <item x="10"/>
        <item x="151"/>
        <item x="65"/>
        <item x="87"/>
        <item x="12"/>
        <item x="115"/>
        <item x="56"/>
        <item x="112"/>
        <item x="70"/>
        <item x="111"/>
        <item x="61"/>
        <item x="148"/>
        <item x="52"/>
        <item x="149"/>
        <item x="40"/>
        <item x="124"/>
        <item x="89"/>
        <item x="72"/>
        <item x="88"/>
        <item x="85"/>
        <item x="23"/>
        <item x="139"/>
        <item x="43"/>
        <item x="119"/>
        <item x="127"/>
        <item x="27"/>
        <item x="153"/>
        <item x="136"/>
        <item x="155"/>
        <item x="133"/>
        <item x="94"/>
        <item x="57"/>
        <item x="161"/>
        <item x="152"/>
        <item x="160"/>
        <item x="14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showAll="0"/>
    <pivotField showAll="0">
      <items count="44">
        <item x="28"/>
        <item x="36"/>
        <item x="41"/>
        <item x="33"/>
        <item x="31"/>
        <item x="39"/>
        <item x="40"/>
        <item x="38"/>
        <item x="37"/>
        <item x="42"/>
        <item x="32"/>
        <item x="29"/>
        <item x="26"/>
        <item x="15"/>
        <item x="30"/>
        <item x="24"/>
        <item x="21"/>
        <item x="25"/>
        <item x="27"/>
        <item x="34"/>
        <item x="3"/>
        <item x="1"/>
        <item x="35"/>
        <item x="22"/>
        <item x="23"/>
        <item x="16"/>
        <item x="7"/>
        <item x="8"/>
        <item x="6"/>
        <item x="20"/>
        <item x="11"/>
        <item x="10"/>
        <item x="9"/>
        <item x="17"/>
        <item x="18"/>
        <item x="12"/>
        <item x="5"/>
        <item x="14"/>
        <item x="19"/>
        <item x="2"/>
        <item x="4"/>
        <item x="0"/>
        <item x="13"/>
        <item t="default"/>
      </items>
    </pivotField>
    <pivotField showAll="0"/>
    <pivotField showAll="0"/>
    <pivotField axis="axisRow" showAll="0" sortType="descending">
      <items count="6">
        <item x="0"/>
        <item x="3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9"/>
  </rowFields>
  <rowItems count="6">
    <i>
      <x/>
    </i>
    <i>
      <x v="3"/>
    </i>
    <i>
      <x v="2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uration" fld="2" baseField="0" baseItem="0"/>
    <dataField name="Count of Call number" fld="0" subtotal="count" baseField="0" baseItem="0" numFmtId="1"/>
  </dataFields>
  <formats count="2">
    <format dxfId="11">
      <pivotArea outline="0" collapsedLevelsAreSubtotals="1" fieldPosition="0"/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6BCE2-4FA2-4F0E-B6DF-1E07C47B670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L10" firstHeaderRow="1" firstDataRow="1" firstDataCol="1"/>
  <pivotFields count="13">
    <pivotField showAll="0"/>
    <pivotField showAll="0"/>
    <pivotField showAll="0"/>
    <pivotField axis="axisRow" showAll="0" sortType="descending">
      <items count="6">
        <item x="2"/>
        <item x="1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 v="1"/>
    </i>
    <i>
      <x v="2"/>
    </i>
    <i>
      <x v="4"/>
    </i>
    <i>
      <x/>
    </i>
    <i>
      <x v="3"/>
    </i>
    <i t="grand">
      <x/>
    </i>
  </rowItems>
  <colItems count="1">
    <i/>
  </colItems>
  <dataFields count="1">
    <dataField name="Sum of Satisfaction Rating" fld="6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959A7-E0EC-429B-9C0A-80C756367AF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9:R15" firstHeaderRow="1" firstDataRow="1" firstDataCol="1"/>
  <pivotFields count="13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165">
        <item x="162"/>
        <item x="159"/>
        <item x="91"/>
        <item x="163"/>
        <item x="126"/>
        <item x="154"/>
        <item x="100"/>
        <item x="158"/>
        <item x="36"/>
        <item x="140"/>
        <item x="138"/>
        <item x="132"/>
        <item x="157"/>
        <item x="79"/>
        <item x="105"/>
        <item x="98"/>
        <item x="123"/>
        <item x="135"/>
        <item x="128"/>
        <item x="137"/>
        <item x="80"/>
        <item x="16"/>
        <item x="26"/>
        <item x="78"/>
        <item x="7"/>
        <item x="81"/>
        <item x="147"/>
        <item x="144"/>
        <item x="142"/>
        <item x="125"/>
        <item x="39"/>
        <item x="18"/>
        <item x="121"/>
        <item x="101"/>
        <item x="103"/>
        <item x="60"/>
        <item x="62"/>
        <item x="8"/>
        <item x="64"/>
        <item x="109"/>
        <item x="68"/>
        <item x="13"/>
        <item x="4"/>
        <item x="54"/>
        <item x="145"/>
        <item x="143"/>
        <item x="93"/>
        <item x="17"/>
        <item x="71"/>
        <item x="108"/>
        <item x="82"/>
        <item x="20"/>
        <item x="44"/>
        <item x="73"/>
        <item x="84"/>
        <item x="63"/>
        <item x="47"/>
        <item x="90"/>
        <item x="83"/>
        <item x="131"/>
        <item x="19"/>
        <item x="2"/>
        <item x="53"/>
        <item x="95"/>
        <item x="51"/>
        <item x="113"/>
        <item x="21"/>
        <item x="33"/>
        <item x="29"/>
        <item x="77"/>
        <item x="120"/>
        <item x="67"/>
        <item x="42"/>
        <item x="24"/>
        <item x="22"/>
        <item x="25"/>
        <item x="45"/>
        <item x="5"/>
        <item x="106"/>
        <item x="96"/>
        <item x="69"/>
        <item x="117"/>
        <item x="34"/>
        <item x="31"/>
        <item x="129"/>
        <item x="102"/>
        <item x="107"/>
        <item x="30"/>
        <item x="48"/>
        <item x="74"/>
        <item x="156"/>
        <item x="11"/>
        <item x="15"/>
        <item x="41"/>
        <item x="58"/>
        <item x="9"/>
        <item x="6"/>
        <item x="38"/>
        <item x="28"/>
        <item x="32"/>
        <item x="99"/>
        <item x="130"/>
        <item x="66"/>
        <item x="50"/>
        <item x="75"/>
        <item x="141"/>
        <item x="97"/>
        <item x="59"/>
        <item x="86"/>
        <item x="0"/>
        <item x="146"/>
        <item x="46"/>
        <item x="1"/>
        <item x="134"/>
        <item x="110"/>
        <item x="150"/>
        <item x="114"/>
        <item x="55"/>
        <item x="118"/>
        <item x="116"/>
        <item x="76"/>
        <item x="3"/>
        <item x="92"/>
        <item x="49"/>
        <item x="37"/>
        <item x="35"/>
        <item x="122"/>
        <item x="104"/>
        <item x="10"/>
        <item x="151"/>
        <item x="65"/>
        <item x="87"/>
        <item x="12"/>
        <item x="115"/>
        <item x="56"/>
        <item x="112"/>
        <item x="70"/>
        <item x="111"/>
        <item x="61"/>
        <item x="148"/>
        <item x="52"/>
        <item x="149"/>
        <item x="40"/>
        <item x="124"/>
        <item x="89"/>
        <item x="72"/>
        <item x="88"/>
        <item x="85"/>
        <item x="23"/>
        <item x="139"/>
        <item x="43"/>
        <item x="119"/>
        <item x="127"/>
        <item x="27"/>
        <item x="153"/>
        <item x="136"/>
        <item x="155"/>
        <item x="133"/>
        <item x="94"/>
        <item x="57"/>
        <item x="161"/>
        <item x="152"/>
        <item x="160"/>
        <item x="14"/>
        <item t="default"/>
      </items>
    </pivotField>
    <pivotField axis="axisRow" showAll="0" sortType="descending">
      <items count="6">
        <item x="2"/>
        <item x="1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showAll="0"/>
    <pivotField dataField="1" showAll="0">
      <items count="44">
        <item x="28"/>
        <item x="36"/>
        <item x="41"/>
        <item x="33"/>
        <item x="31"/>
        <item x="39"/>
        <item x="40"/>
        <item x="38"/>
        <item x="37"/>
        <item x="42"/>
        <item x="32"/>
        <item x="29"/>
        <item x="26"/>
        <item x="15"/>
        <item x="30"/>
        <item x="24"/>
        <item x="21"/>
        <item x="25"/>
        <item x="27"/>
        <item x="34"/>
        <item x="3"/>
        <item x="1"/>
        <item x="35"/>
        <item x="22"/>
        <item x="23"/>
        <item x="16"/>
        <item x="7"/>
        <item x="8"/>
        <item x="6"/>
        <item x="20"/>
        <item x="11"/>
        <item x="10"/>
        <item x="9"/>
        <item x="17"/>
        <item x="18"/>
        <item x="12"/>
        <item x="5"/>
        <item x="14"/>
        <item x="19"/>
        <item x="2"/>
        <item x="4"/>
        <item x="0"/>
        <item x="13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 v="1"/>
    </i>
    <i>
      <x v="2"/>
    </i>
    <i>
      <x v="4"/>
    </i>
    <i>
      <x/>
    </i>
    <i>
      <x v="3"/>
    </i>
    <i t="grand">
      <x/>
    </i>
  </rowItems>
  <colItems count="1">
    <i/>
  </colItems>
  <dataFields count="1">
    <dataField name="Sum of Satisfaction Rating" fld="6" baseField="3" baseItem="0" numFmtId="1"/>
  </dataFields>
  <formats count="3">
    <format dxfId="14">
      <pivotArea collapsedLevelsAreSubtotals="1" fieldPosition="0">
        <references count="1">
          <reference field="3" count="1">
            <x v="0"/>
          </reference>
        </references>
      </pivotArea>
    </format>
    <format dxfId="13">
      <pivotArea outline="0" collapsedLevelsAreSubtotals="1" fieldPosition="0"/>
    </format>
    <format dxfId="12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A824A-767E-452D-983B-CB42C0218074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M10:AN18" firstHeaderRow="1" firstDataRow="1" firstDataCol="1"/>
  <pivotFields count="13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165">
        <item x="162"/>
        <item x="159"/>
        <item x="91"/>
        <item x="163"/>
        <item x="126"/>
        <item x="154"/>
        <item x="100"/>
        <item x="158"/>
        <item x="36"/>
        <item x="140"/>
        <item x="138"/>
        <item x="132"/>
        <item x="157"/>
        <item x="79"/>
        <item x="105"/>
        <item x="98"/>
        <item x="123"/>
        <item x="135"/>
        <item x="128"/>
        <item x="137"/>
        <item x="80"/>
        <item x="16"/>
        <item x="26"/>
        <item x="78"/>
        <item x="7"/>
        <item x="81"/>
        <item x="147"/>
        <item x="144"/>
        <item x="142"/>
        <item x="125"/>
        <item x="39"/>
        <item x="18"/>
        <item x="121"/>
        <item x="101"/>
        <item x="103"/>
        <item x="60"/>
        <item x="62"/>
        <item x="8"/>
        <item x="64"/>
        <item x="109"/>
        <item x="68"/>
        <item x="13"/>
        <item x="4"/>
        <item x="54"/>
        <item x="145"/>
        <item x="143"/>
        <item x="93"/>
        <item x="17"/>
        <item x="71"/>
        <item x="108"/>
        <item x="82"/>
        <item x="20"/>
        <item x="44"/>
        <item x="73"/>
        <item x="84"/>
        <item x="63"/>
        <item x="47"/>
        <item x="90"/>
        <item x="83"/>
        <item x="131"/>
        <item x="19"/>
        <item x="2"/>
        <item x="53"/>
        <item x="95"/>
        <item x="51"/>
        <item x="113"/>
        <item x="21"/>
        <item x="33"/>
        <item x="29"/>
        <item x="77"/>
        <item x="120"/>
        <item x="67"/>
        <item x="42"/>
        <item x="24"/>
        <item x="22"/>
        <item x="25"/>
        <item x="45"/>
        <item x="5"/>
        <item x="106"/>
        <item x="96"/>
        <item x="69"/>
        <item x="117"/>
        <item x="34"/>
        <item x="31"/>
        <item x="129"/>
        <item x="102"/>
        <item x="107"/>
        <item x="30"/>
        <item x="48"/>
        <item x="74"/>
        <item x="156"/>
        <item x="11"/>
        <item x="15"/>
        <item x="41"/>
        <item x="58"/>
        <item x="9"/>
        <item x="6"/>
        <item x="38"/>
        <item x="28"/>
        <item x="32"/>
        <item x="99"/>
        <item x="130"/>
        <item x="66"/>
        <item x="50"/>
        <item x="75"/>
        <item x="141"/>
        <item x="97"/>
        <item x="59"/>
        <item x="86"/>
        <item x="0"/>
        <item x="146"/>
        <item x="46"/>
        <item x="1"/>
        <item x="134"/>
        <item x="110"/>
        <item x="150"/>
        <item x="114"/>
        <item x="55"/>
        <item x="118"/>
        <item x="116"/>
        <item x="76"/>
        <item x="3"/>
        <item x="92"/>
        <item x="49"/>
        <item x="37"/>
        <item x="35"/>
        <item x="122"/>
        <item x="104"/>
        <item x="10"/>
        <item x="151"/>
        <item x="65"/>
        <item x="87"/>
        <item x="12"/>
        <item x="115"/>
        <item x="56"/>
        <item x="112"/>
        <item x="70"/>
        <item x="111"/>
        <item x="61"/>
        <item x="148"/>
        <item x="52"/>
        <item x="149"/>
        <item x="40"/>
        <item x="124"/>
        <item x="89"/>
        <item x="72"/>
        <item x="88"/>
        <item x="85"/>
        <item x="23"/>
        <item x="139"/>
        <item x="43"/>
        <item x="119"/>
        <item x="127"/>
        <item x="27"/>
        <item x="153"/>
        <item x="136"/>
        <item x="155"/>
        <item x="133"/>
        <item x="94"/>
        <item x="57"/>
        <item x="161"/>
        <item x="152"/>
        <item x="160"/>
        <item x="14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showAll="0"/>
    <pivotField dataField="1" showAll="0">
      <items count="44">
        <item x="28"/>
        <item x="36"/>
        <item x="41"/>
        <item x="33"/>
        <item x="31"/>
        <item x="39"/>
        <item x="40"/>
        <item x="38"/>
        <item x="37"/>
        <item x="42"/>
        <item x="32"/>
        <item x="29"/>
        <item x="26"/>
        <item x="15"/>
        <item x="30"/>
        <item x="24"/>
        <item x="21"/>
        <item x="25"/>
        <item x="27"/>
        <item x="34"/>
        <item x="3"/>
        <item x="1"/>
        <item x="35"/>
        <item x="22"/>
        <item x="23"/>
        <item x="16"/>
        <item x="7"/>
        <item x="8"/>
        <item x="6"/>
        <item x="20"/>
        <item x="11"/>
        <item x="10"/>
        <item x="9"/>
        <item x="17"/>
        <item x="18"/>
        <item x="12"/>
        <item x="5"/>
        <item x="14"/>
        <item x="19"/>
        <item x="2"/>
        <item x="4"/>
        <item x="0"/>
        <item x="13"/>
        <item t="default"/>
      </items>
    </pivotField>
    <pivotField showAll="0"/>
    <pivotField axis="axisRow" showAll="0" sortType="descending">
      <items count="8">
        <item x="1"/>
        <item x="2"/>
        <item x="3"/>
        <item x="4"/>
        <item x="5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0"/>
        <item x="3"/>
        <item x="2"/>
        <item x="1"/>
        <item x="4"/>
        <item t="default"/>
      </items>
    </pivotField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8"/>
  </rowFields>
  <rowItems count="8">
    <i>
      <x v="5"/>
    </i>
    <i>
      <x v="2"/>
    </i>
    <i>
      <x v="6"/>
    </i>
    <i>
      <x v="4"/>
    </i>
    <i>
      <x v="1"/>
    </i>
    <i>
      <x v="3"/>
    </i>
    <i>
      <x/>
    </i>
    <i t="grand">
      <x/>
    </i>
  </rowItems>
  <colItems count="1">
    <i/>
  </colItems>
  <dataFields count="1">
    <dataField name="Sum of Satisfaction Rating" fld="6" baseField="8" baseItem="5" numFmtId="2"/>
  </dataFields>
  <formats count="3">
    <format dxfId="17">
      <pivotArea outline="0" collapsedLevelsAreSubtotals="1" fieldPosition="0"/>
    </format>
    <format dxfId="16">
      <pivotArea collapsedLevelsAreSubtotals="1" fieldPosition="0">
        <references count="1">
          <reference field="8" count="0"/>
        </references>
      </pivotArea>
    </format>
    <format dxfId="15">
      <pivotArea grandRow="1"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265A2-0B96-45C0-B49A-B9FD5409FA4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F10" firstHeaderRow="1" firstDataRow="1" firstDataCol="1"/>
  <pivotFields count="13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axis="axisRow" showAll="0" sortType="descending">
      <items count="6">
        <item x="0"/>
        <item x="3"/>
        <item x="4"/>
        <item x="1"/>
        <item x="2"/>
        <item t="default"/>
      </items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all number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35447-0FB6-4BEA-91E7-669B43FB4CB1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G10:AH18" firstHeaderRow="1" firstDataRow="1" firstDataCol="1"/>
  <pivotFields count="13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165">
        <item x="162"/>
        <item x="159"/>
        <item x="91"/>
        <item x="163"/>
        <item x="126"/>
        <item x="154"/>
        <item x="100"/>
        <item x="158"/>
        <item x="36"/>
        <item x="140"/>
        <item x="138"/>
        <item x="132"/>
        <item x="157"/>
        <item x="79"/>
        <item x="105"/>
        <item x="98"/>
        <item x="123"/>
        <item x="135"/>
        <item x="128"/>
        <item x="137"/>
        <item x="80"/>
        <item x="16"/>
        <item x="26"/>
        <item x="78"/>
        <item x="7"/>
        <item x="81"/>
        <item x="147"/>
        <item x="144"/>
        <item x="142"/>
        <item x="125"/>
        <item x="39"/>
        <item x="18"/>
        <item x="121"/>
        <item x="101"/>
        <item x="103"/>
        <item x="60"/>
        <item x="62"/>
        <item x="8"/>
        <item x="64"/>
        <item x="109"/>
        <item x="68"/>
        <item x="13"/>
        <item x="4"/>
        <item x="54"/>
        <item x="145"/>
        <item x="143"/>
        <item x="93"/>
        <item x="17"/>
        <item x="71"/>
        <item x="108"/>
        <item x="82"/>
        <item x="20"/>
        <item x="44"/>
        <item x="73"/>
        <item x="84"/>
        <item x="63"/>
        <item x="47"/>
        <item x="90"/>
        <item x="83"/>
        <item x="131"/>
        <item x="19"/>
        <item x="2"/>
        <item x="53"/>
        <item x="95"/>
        <item x="51"/>
        <item x="113"/>
        <item x="21"/>
        <item x="33"/>
        <item x="29"/>
        <item x="77"/>
        <item x="120"/>
        <item x="67"/>
        <item x="42"/>
        <item x="24"/>
        <item x="22"/>
        <item x="25"/>
        <item x="45"/>
        <item x="5"/>
        <item x="106"/>
        <item x="96"/>
        <item x="69"/>
        <item x="117"/>
        <item x="34"/>
        <item x="31"/>
        <item x="129"/>
        <item x="102"/>
        <item x="107"/>
        <item x="30"/>
        <item x="48"/>
        <item x="74"/>
        <item x="156"/>
        <item x="11"/>
        <item x="15"/>
        <item x="41"/>
        <item x="58"/>
        <item x="9"/>
        <item x="6"/>
        <item x="38"/>
        <item x="28"/>
        <item x="32"/>
        <item x="99"/>
        <item x="130"/>
        <item x="66"/>
        <item x="50"/>
        <item x="75"/>
        <item x="141"/>
        <item x="97"/>
        <item x="59"/>
        <item x="86"/>
        <item x="0"/>
        <item x="146"/>
        <item x="46"/>
        <item x="1"/>
        <item x="134"/>
        <item x="110"/>
        <item x="150"/>
        <item x="114"/>
        <item x="55"/>
        <item x="118"/>
        <item x="116"/>
        <item x="76"/>
        <item x="3"/>
        <item x="92"/>
        <item x="49"/>
        <item x="37"/>
        <item x="35"/>
        <item x="122"/>
        <item x="104"/>
        <item x="10"/>
        <item x="151"/>
        <item x="65"/>
        <item x="87"/>
        <item x="12"/>
        <item x="115"/>
        <item x="56"/>
        <item x="112"/>
        <item x="70"/>
        <item x="111"/>
        <item x="61"/>
        <item x="148"/>
        <item x="52"/>
        <item x="149"/>
        <item x="40"/>
        <item x="124"/>
        <item x="89"/>
        <item x="72"/>
        <item x="88"/>
        <item x="85"/>
        <item x="23"/>
        <item x="139"/>
        <item x="43"/>
        <item x="119"/>
        <item x="127"/>
        <item x="27"/>
        <item x="153"/>
        <item x="136"/>
        <item x="155"/>
        <item x="133"/>
        <item x="94"/>
        <item x="57"/>
        <item x="161"/>
        <item x="152"/>
        <item x="160"/>
        <item x="14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showAll="0"/>
    <pivotField showAll="0">
      <items count="44">
        <item x="28"/>
        <item x="36"/>
        <item x="41"/>
        <item x="33"/>
        <item x="31"/>
        <item x="39"/>
        <item x="40"/>
        <item x="38"/>
        <item x="37"/>
        <item x="42"/>
        <item x="32"/>
        <item x="29"/>
        <item x="26"/>
        <item x="15"/>
        <item x="30"/>
        <item x="24"/>
        <item x="21"/>
        <item x="25"/>
        <item x="27"/>
        <item x="34"/>
        <item x="3"/>
        <item x="1"/>
        <item x="35"/>
        <item x="22"/>
        <item x="23"/>
        <item x="16"/>
        <item x="7"/>
        <item x="8"/>
        <item x="6"/>
        <item x="20"/>
        <item x="11"/>
        <item x="10"/>
        <item x="9"/>
        <item x="17"/>
        <item x="18"/>
        <item x="12"/>
        <item x="5"/>
        <item x="14"/>
        <item x="19"/>
        <item x="2"/>
        <item x="4"/>
        <item x="0"/>
        <item x="13"/>
        <item t="default"/>
      </items>
    </pivotField>
    <pivotField showAll="0"/>
    <pivotField axis="axisRow" showAll="0" sortType="descending">
      <items count="8">
        <item x="1"/>
        <item x="2"/>
        <item x="3"/>
        <item x="4"/>
        <item x="5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0"/>
        <item x="3"/>
        <item x="2"/>
        <item x="1"/>
        <item x="4"/>
        <item t="default"/>
      </items>
    </pivotField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8"/>
  </rowFields>
  <rowItems count="8">
    <i>
      <x v="5"/>
    </i>
    <i>
      <x v="2"/>
    </i>
    <i>
      <x v="6"/>
    </i>
    <i>
      <x v="4"/>
    </i>
    <i>
      <x v="1"/>
    </i>
    <i>
      <x/>
    </i>
    <i>
      <x v="3"/>
    </i>
    <i t="grand">
      <x/>
    </i>
  </rowItems>
  <colItems count="1">
    <i/>
  </colItems>
  <dataFields count="1">
    <dataField name="Count of Call number" fld="0" subtotal="count" baseField="0" baseItem="0"/>
  </dataFields>
  <formats count="1">
    <format dxfId="18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F0EBF-5DDB-440B-9041-7FE655DA0E1B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>
  <location ref="A3:B16" firstHeaderRow="1" firstDataRow="1" firstDataCol="1"/>
  <pivotFields count="13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13">
    <i>
      <x v="3"/>
    </i>
    <i>
      <x v="4"/>
    </i>
    <i>
      <x v="10"/>
    </i>
    <i>
      <x v="5"/>
    </i>
    <i>
      <x v="1"/>
    </i>
    <i>
      <x v="9"/>
    </i>
    <i>
      <x v="6"/>
    </i>
    <i>
      <x v="2"/>
    </i>
    <i>
      <x v="7"/>
    </i>
    <i>
      <x v="11"/>
    </i>
    <i>
      <x v="12"/>
    </i>
    <i>
      <x v="8"/>
    </i>
    <i t="grand">
      <x/>
    </i>
  </rowItems>
  <colItems count="1">
    <i/>
  </colItems>
  <dataFields count="1">
    <dataField name="Count of Call numbe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1001">
  <autoFilter ref="A1:K1001" xr:uid="{00000000-000C-0000-FFFF-FFFF00000000}"/>
  <tableColumns count="11">
    <tableColumn id="1" xr3:uid="{00000000-0010-0000-0000-000001000000}" name="Call number" dataDxfId="8"/>
    <tableColumn id="2" xr3:uid="{00000000-0010-0000-0000-000002000000}" name="Customer ID" dataDxfId="7"/>
    <tableColumn id="3" xr3:uid="{00000000-0010-0000-0000-000003000000}" name="Duration"/>
    <tableColumn id="4" xr3:uid="{00000000-0010-0000-0000-000004000000}" name="Representative" dataDxfId="6"/>
    <tableColumn id="5" xr3:uid="{00000000-0010-0000-0000-000005000000}" name="Date of Call"/>
    <tableColumn id="6" xr3:uid="{00000000-0010-0000-0000-000006000000}" name="Purchase Amount" dataDxfId="5"/>
    <tableColumn id="7" xr3:uid="{00000000-0010-0000-0000-000007000000}" name="Satisfaction Rating" dataDxfId="4"/>
    <tableColumn id="8" xr3:uid="{00000000-0010-0000-0000-000008000000}" name="Financial Year" dataDxfId="3"/>
    <tableColumn id="9" xr3:uid="{00000000-0010-0000-0000-000009000000}" name="Day of week" dataDxfId="2"/>
    <tableColumn id="10" xr3:uid="{00000000-0010-0000-0000-00000A000000}" name="Duration Bucket" dataDxfId="1"/>
    <tableColumn id="11" xr3:uid="{00000000-0010-0000-0000-00000B000000}" name="Rating rounded" dataDxfId="0"/>
  </tableColumns>
  <tableStyleInfo name="TableStyleLight1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6C7AA"/>
      </a:folHlink>
    </a:clrScheme>
    <a:fontScheme name="Sheets">
      <a:majorFont>
        <a:latin typeface="Aptos"/>
        <a:ea typeface="Aptos"/>
        <a:cs typeface="Aptos"/>
      </a:majorFont>
      <a:minorFont>
        <a:latin typeface="Aptos"/>
        <a:ea typeface="Aptos"/>
        <a:cs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8360-BFE6-490C-8983-84812EEDB73A}">
  <dimension ref="A3:AN18"/>
  <sheetViews>
    <sheetView topLeftCell="X1" workbookViewId="0">
      <selection activeCell="AG26" sqref="AG26"/>
    </sheetView>
  </sheetViews>
  <sheetFormatPr defaultRowHeight="14.4" x14ac:dyDescent="0.3"/>
  <cols>
    <col min="1" max="1" width="12.3984375" bestFit="1" customWidth="1"/>
    <col min="2" max="2" width="18.3984375" bestFit="1" customWidth="1"/>
    <col min="5" max="5" width="12.3984375" bestFit="1" customWidth="1"/>
    <col min="6" max="6" width="18.3984375" bestFit="1" customWidth="1"/>
    <col min="11" max="11" width="12.3984375" bestFit="1" customWidth="1"/>
    <col min="12" max="12" width="22.59765625" bestFit="1" customWidth="1"/>
    <col min="17" max="17" width="12.3984375" bestFit="1" customWidth="1"/>
    <col min="18" max="18" width="22.59765625" bestFit="1" customWidth="1"/>
    <col min="23" max="23" width="16.09765625" bestFit="1" customWidth="1"/>
    <col min="24" max="24" width="14.296875" bestFit="1" customWidth="1"/>
    <col min="25" max="25" width="18.3984375" bestFit="1" customWidth="1"/>
    <col min="26" max="26" width="26.296875" bestFit="1" customWidth="1"/>
    <col min="28" max="28" width="12.3984375" bestFit="1" customWidth="1"/>
    <col min="29" max="29" width="21.69921875" bestFit="1" customWidth="1"/>
    <col min="33" max="33" width="12.3984375" bestFit="1" customWidth="1"/>
    <col min="34" max="34" width="18.3984375" bestFit="1" customWidth="1"/>
    <col min="39" max="39" width="12.3984375" bestFit="1" customWidth="1"/>
    <col min="40" max="40" width="22.59765625" bestFit="1" customWidth="1"/>
  </cols>
  <sheetData>
    <row r="3" spans="1:40" x14ac:dyDescent="0.3">
      <c r="A3" s="25" t="s">
        <v>1036</v>
      </c>
      <c r="B3" s="26" t="s">
        <v>1050</v>
      </c>
    </row>
    <row r="4" spans="1:40" x14ac:dyDescent="0.3">
      <c r="A4" s="27" t="s">
        <v>1040</v>
      </c>
      <c r="B4" s="26">
        <v>155</v>
      </c>
      <c r="E4" s="25" t="s">
        <v>1036</v>
      </c>
      <c r="F4" s="26" t="s">
        <v>1050</v>
      </c>
      <c r="K4" s="25" t="s">
        <v>1036</v>
      </c>
      <c r="L4" s="26" t="s">
        <v>1051</v>
      </c>
    </row>
    <row r="5" spans="1:40" x14ac:dyDescent="0.3">
      <c r="A5" s="28" t="s">
        <v>1041</v>
      </c>
      <c r="B5" s="29">
        <v>136</v>
      </c>
      <c r="E5" s="27" t="s">
        <v>13</v>
      </c>
      <c r="F5" s="26">
        <v>200</v>
      </c>
      <c r="K5" s="27" t="s">
        <v>19</v>
      </c>
      <c r="L5" s="26">
        <v>843.80000000000007</v>
      </c>
    </row>
    <row r="6" spans="1:40" x14ac:dyDescent="0.3">
      <c r="A6" s="28" t="s">
        <v>1047</v>
      </c>
      <c r="B6" s="29">
        <v>114</v>
      </c>
      <c r="E6" s="28" t="s">
        <v>31</v>
      </c>
      <c r="F6" s="29">
        <v>186</v>
      </c>
      <c r="K6" s="28" t="s">
        <v>35</v>
      </c>
      <c r="L6" s="29">
        <v>798.7999999999995</v>
      </c>
    </row>
    <row r="7" spans="1:40" x14ac:dyDescent="0.3">
      <c r="A7" s="28" t="s">
        <v>1042</v>
      </c>
      <c r="B7" s="29">
        <v>83</v>
      </c>
      <c r="E7" s="28" t="s">
        <v>35</v>
      </c>
      <c r="F7" s="29">
        <v>207</v>
      </c>
      <c r="K7" s="28" t="s">
        <v>13</v>
      </c>
      <c r="L7" s="29">
        <v>776.5</v>
      </c>
    </row>
    <row r="8" spans="1:40" x14ac:dyDescent="0.3">
      <c r="A8" s="28" t="s">
        <v>1038</v>
      </c>
      <c r="B8" s="29">
        <v>79</v>
      </c>
      <c r="E8" s="28" t="s">
        <v>19</v>
      </c>
      <c r="F8" s="29">
        <v>218</v>
      </c>
      <c r="K8" s="28" t="s">
        <v>24</v>
      </c>
      <c r="L8" s="29">
        <v>741.40000000000032</v>
      </c>
    </row>
    <row r="9" spans="1:40" x14ac:dyDescent="0.3">
      <c r="A9" s="28" t="s">
        <v>1046</v>
      </c>
      <c r="B9" s="29">
        <v>76</v>
      </c>
      <c r="E9" s="28" t="s">
        <v>24</v>
      </c>
      <c r="F9" s="29">
        <v>189</v>
      </c>
      <c r="K9" s="28" t="s">
        <v>31</v>
      </c>
      <c r="L9" s="29">
        <v>724.89999999999941</v>
      </c>
      <c r="Q9" s="25" t="s">
        <v>1036</v>
      </c>
      <c r="R9" s="26" t="s">
        <v>1051</v>
      </c>
      <c r="W9" s="25" t="s">
        <v>1036</v>
      </c>
      <c r="X9" s="6" t="s">
        <v>1052</v>
      </c>
      <c r="Y9" s="32" t="s">
        <v>1050</v>
      </c>
    </row>
    <row r="10" spans="1:40" x14ac:dyDescent="0.3">
      <c r="A10" s="28" t="s">
        <v>1043</v>
      </c>
      <c r="B10" s="29">
        <v>67</v>
      </c>
      <c r="E10" s="30" t="s">
        <v>1037</v>
      </c>
      <c r="F10" s="31">
        <v>1000</v>
      </c>
      <c r="K10" s="30" t="s">
        <v>1037</v>
      </c>
      <c r="L10" s="31">
        <v>3885.3999999999996</v>
      </c>
      <c r="Q10" s="27" t="s">
        <v>19</v>
      </c>
      <c r="R10" s="33">
        <v>843.80000000000007</v>
      </c>
      <c r="W10" s="27" t="s">
        <v>14</v>
      </c>
      <c r="X10" s="37">
        <v>46865</v>
      </c>
      <c r="Y10" s="39">
        <v>524</v>
      </c>
      <c r="AB10" s="25" t="s">
        <v>1036</v>
      </c>
      <c r="AC10" s="26" t="s">
        <v>1053</v>
      </c>
      <c r="AG10" s="25" t="s">
        <v>1036</v>
      </c>
      <c r="AH10" s="26" t="s">
        <v>1050</v>
      </c>
      <c r="AM10" s="25" t="s">
        <v>1036</v>
      </c>
      <c r="AN10" s="26" t="s">
        <v>1051</v>
      </c>
    </row>
    <row r="11" spans="1:40" x14ac:dyDescent="0.3">
      <c r="A11" s="28" t="s">
        <v>1039</v>
      </c>
      <c r="B11" s="29">
        <v>66</v>
      </c>
      <c r="Q11" s="28" t="s">
        <v>35</v>
      </c>
      <c r="R11" s="34">
        <v>798.7999999999995</v>
      </c>
      <c r="W11" s="28" t="s">
        <v>25</v>
      </c>
      <c r="X11" s="36">
        <v>33202</v>
      </c>
      <c r="Y11" s="40">
        <v>237</v>
      </c>
      <c r="AB11" s="27" t="s">
        <v>35</v>
      </c>
      <c r="AC11" s="33">
        <v>20872</v>
      </c>
      <c r="AG11" s="27" t="s">
        <v>1059</v>
      </c>
      <c r="AH11" s="33">
        <v>161</v>
      </c>
      <c r="AM11" s="27" t="s">
        <v>1059</v>
      </c>
      <c r="AN11" s="33">
        <v>627</v>
      </c>
    </row>
    <row r="12" spans="1:40" x14ac:dyDescent="0.3">
      <c r="A12" s="28" t="s">
        <v>1044</v>
      </c>
      <c r="B12" s="29">
        <v>64</v>
      </c>
      <c r="Q12" s="28" t="s">
        <v>13</v>
      </c>
      <c r="R12" s="34">
        <v>776.5</v>
      </c>
      <c r="W12" s="28" t="s">
        <v>27</v>
      </c>
      <c r="X12" s="36">
        <v>8567</v>
      </c>
      <c r="Y12" s="40">
        <v>179</v>
      </c>
      <c r="AB12" s="28" t="s">
        <v>19</v>
      </c>
      <c r="AC12" s="34">
        <v>20581</v>
      </c>
      <c r="AG12" s="28" t="s">
        <v>1056</v>
      </c>
      <c r="AH12" s="34">
        <v>153</v>
      </c>
      <c r="AM12" s="28" t="s">
        <v>1056</v>
      </c>
      <c r="AN12" s="34">
        <v>602.6999999999997</v>
      </c>
    </row>
    <row r="13" spans="1:40" x14ac:dyDescent="0.3">
      <c r="A13" s="28" t="s">
        <v>1048</v>
      </c>
      <c r="B13" s="29">
        <v>57</v>
      </c>
      <c r="Q13" s="28" t="s">
        <v>24</v>
      </c>
      <c r="R13" s="34">
        <v>741.40000000000032</v>
      </c>
      <c r="W13" s="28" t="s">
        <v>47</v>
      </c>
      <c r="X13" s="36">
        <v>1159</v>
      </c>
      <c r="Y13" s="40">
        <v>51</v>
      </c>
      <c r="AB13" s="28" t="s">
        <v>13</v>
      </c>
      <c r="AC13" s="34">
        <v>20104</v>
      </c>
      <c r="AG13" s="28" t="s">
        <v>1060</v>
      </c>
      <c r="AH13" s="34">
        <v>146</v>
      </c>
      <c r="AM13" s="28" t="s">
        <v>1060</v>
      </c>
      <c r="AN13" s="34">
        <v>575.39999999999986</v>
      </c>
    </row>
    <row r="14" spans="1:40" x14ac:dyDescent="0.3">
      <c r="A14" s="28" t="s">
        <v>1049</v>
      </c>
      <c r="B14" s="29">
        <v>53</v>
      </c>
      <c r="Q14" s="28" t="s">
        <v>31</v>
      </c>
      <c r="R14" s="34">
        <v>724.89999999999941</v>
      </c>
      <c r="W14" s="28" t="s">
        <v>176</v>
      </c>
      <c r="X14" s="36">
        <v>57</v>
      </c>
      <c r="Y14" s="40">
        <v>9</v>
      </c>
      <c r="AB14" s="28" t="s">
        <v>24</v>
      </c>
      <c r="AC14" s="34">
        <v>18415</v>
      </c>
      <c r="AG14" s="28" t="s">
        <v>1058</v>
      </c>
      <c r="AH14" s="34">
        <v>141</v>
      </c>
      <c r="AM14" s="28" t="s">
        <v>1058</v>
      </c>
      <c r="AN14" s="34">
        <v>542.9</v>
      </c>
    </row>
    <row r="15" spans="1:40" x14ac:dyDescent="0.3">
      <c r="A15" s="28" t="s">
        <v>1045</v>
      </c>
      <c r="B15" s="29">
        <v>50</v>
      </c>
      <c r="Q15" s="30" t="s">
        <v>1037</v>
      </c>
      <c r="R15" s="35">
        <v>3885.3999999999996</v>
      </c>
      <c r="W15" s="30" t="s">
        <v>1037</v>
      </c>
      <c r="X15" s="38">
        <v>89850</v>
      </c>
      <c r="Y15" s="41">
        <v>1000</v>
      </c>
      <c r="AB15" s="28" t="s">
        <v>31</v>
      </c>
      <c r="AC15" s="34">
        <v>16651</v>
      </c>
      <c r="AG15" s="28" t="s">
        <v>1055</v>
      </c>
      <c r="AH15" s="34">
        <v>138</v>
      </c>
      <c r="AM15" s="28" t="s">
        <v>1055</v>
      </c>
      <c r="AN15" s="34">
        <v>537.19999999999982</v>
      </c>
    </row>
    <row r="16" spans="1:40" x14ac:dyDescent="0.3">
      <c r="A16" s="30" t="s">
        <v>1037</v>
      </c>
      <c r="B16" s="31">
        <v>1000</v>
      </c>
      <c r="AB16" s="30" t="s">
        <v>1037</v>
      </c>
      <c r="AC16" s="35">
        <v>96623</v>
      </c>
      <c r="AG16" s="28" t="s">
        <v>1054</v>
      </c>
      <c r="AH16" s="34">
        <v>133</v>
      </c>
      <c r="AM16" s="28" t="s">
        <v>1057</v>
      </c>
      <c r="AN16" s="34">
        <v>501.59999999999997</v>
      </c>
    </row>
    <row r="17" spans="33:40" x14ac:dyDescent="0.3">
      <c r="AG17" s="28" t="s">
        <v>1057</v>
      </c>
      <c r="AH17" s="34">
        <v>128</v>
      </c>
      <c r="AM17" s="28" t="s">
        <v>1054</v>
      </c>
      <c r="AN17" s="34">
        <v>498.59999999999985</v>
      </c>
    </row>
    <row r="18" spans="33:40" x14ac:dyDescent="0.3">
      <c r="AG18" s="30" t="s">
        <v>1037</v>
      </c>
      <c r="AH18" s="35">
        <v>1000</v>
      </c>
      <c r="AM18" s="30" t="s">
        <v>1037</v>
      </c>
      <c r="AN18" s="35">
        <v>3885.3999999999996</v>
      </c>
    </row>
  </sheetData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01E6-CACF-4558-980D-547D233C1672}">
  <dimension ref="A1:I15"/>
  <sheetViews>
    <sheetView tabSelected="1" workbookViewId="0">
      <selection activeCell="J18" sqref="J18"/>
    </sheetView>
  </sheetViews>
  <sheetFormatPr defaultRowHeight="14.4" x14ac:dyDescent="0.3"/>
  <cols>
    <col min="4" max="6" width="8.8984375" customWidth="1"/>
  </cols>
  <sheetData>
    <row r="1" spans="1:9" x14ac:dyDescent="0.3">
      <c r="A1" s="43" t="s">
        <v>1061</v>
      </c>
      <c r="B1" s="42"/>
      <c r="C1" s="42"/>
      <c r="D1" s="42"/>
      <c r="E1" s="42"/>
      <c r="F1" s="42"/>
      <c r="G1" s="42"/>
      <c r="H1" s="42"/>
      <c r="I1" s="42"/>
    </row>
    <row r="2" spans="1:9" x14ac:dyDescent="0.3">
      <c r="A2" s="42"/>
      <c r="B2" s="42"/>
      <c r="C2" s="42"/>
      <c r="D2" s="42"/>
      <c r="E2" s="42"/>
      <c r="F2" s="42"/>
      <c r="G2" s="42"/>
      <c r="H2" s="42"/>
      <c r="I2" s="42"/>
    </row>
    <row r="3" spans="1:9" x14ac:dyDescent="0.3">
      <c r="A3" s="42"/>
      <c r="B3" s="42"/>
      <c r="C3" s="42"/>
      <c r="D3" s="42"/>
      <c r="E3" s="42"/>
      <c r="F3" s="42"/>
      <c r="G3" s="42"/>
      <c r="H3" s="42"/>
      <c r="I3" s="42"/>
    </row>
    <row r="4" spans="1:9" x14ac:dyDescent="0.3">
      <c r="A4" s="42"/>
      <c r="B4" s="42"/>
      <c r="C4" s="42"/>
      <c r="D4" s="42"/>
      <c r="E4" s="42"/>
      <c r="F4" s="42"/>
      <c r="G4" s="42"/>
      <c r="H4" s="42"/>
      <c r="I4" s="42"/>
    </row>
    <row r="5" spans="1:9" x14ac:dyDescent="0.3">
      <c r="A5" s="42"/>
      <c r="B5" s="42"/>
      <c r="C5" s="42"/>
      <c r="D5" s="42"/>
      <c r="E5" s="42"/>
      <c r="F5" s="42"/>
      <c r="G5" s="42"/>
      <c r="H5" s="42"/>
      <c r="I5" s="42"/>
    </row>
    <row r="6" spans="1:9" x14ac:dyDescent="0.3">
      <c r="A6" s="42"/>
      <c r="B6" s="42"/>
      <c r="C6" s="42"/>
      <c r="D6" s="42"/>
      <c r="E6" s="42"/>
      <c r="F6" s="42"/>
      <c r="G6" s="42"/>
      <c r="H6" s="42"/>
      <c r="I6" s="42"/>
    </row>
    <row r="7" spans="1:9" x14ac:dyDescent="0.3">
      <c r="A7" s="42"/>
      <c r="B7" s="42"/>
      <c r="C7" s="42"/>
      <c r="D7" s="42"/>
      <c r="E7" s="42"/>
      <c r="F7" s="42"/>
      <c r="G7" s="42"/>
      <c r="H7" s="42"/>
      <c r="I7" s="42"/>
    </row>
    <row r="8" spans="1:9" x14ac:dyDescent="0.3">
      <c r="A8" s="42"/>
      <c r="B8" s="42"/>
      <c r="C8" s="42"/>
      <c r="D8" s="42"/>
      <c r="E8" s="42"/>
      <c r="F8" s="42"/>
      <c r="G8" s="42"/>
      <c r="H8" s="42"/>
      <c r="I8" s="42"/>
    </row>
    <row r="9" spans="1:9" x14ac:dyDescent="0.3">
      <c r="A9" s="42"/>
      <c r="B9" s="42"/>
      <c r="C9" s="42"/>
      <c r="D9" s="42"/>
      <c r="E9" s="42"/>
      <c r="F9" s="42"/>
      <c r="G9" s="42"/>
      <c r="H9" s="42"/>
      <c r="I9" s="42"/>
    </row>
    <row r="10" spans="1:9" x14ac:dyDescent="0.3">
      <c r="A10" s="42"/>
      <c r="B10" s="42"/>
      <c r="C10" s="42"/>
      <c r="D10" s="42"/>
      <c r="E10" s="42"/>
      <c r="F10" s="42"/>
      <c r="G10" s="42"/>
      <c r="H10" s="42"/>
      <c r="I10" s="42"/>
    </row>
    <row r="11" spans="1:9" x14ac:dyDescent="0.3">
      <c r="A11" s="42"/>
      <c r="B11" s="42"/>
      <c r="C11" s="42"/>
      <c r="D11" s="42"/>
      <c r="E11" s="42"/>
      <c r="F11" s="42"/>
      <c r="G11" s="42"/>
      <c r="H11" s="42"/>
      <c r="I11" s="42"/>
    </row>
    <row r="12" spans="1:9" x14ac:dyDescent="0.3">
      <c r="A12" s="42"/>
      <c r="B12" s="42"/>
      <c r="C12" s="42"/>
      <c r="D12" s="42"/>
      <c r="E12" s="42"/>
      <c r="F12" s="42"/>
      <c r="G12" s="42"/>
      <c r="H12" s="42"/>
      <c r="I12" s="42"/>
    </row>
    <row r="13" spans="1:9" x14ac:dyDescent="0.3">
      <c r="A13" s="42"/>
      <c r="B13" s="42"/>
      <c r="C13" s="42"/>
      <c r="D13" s="42"/>
      <c r="E13" s="42"/>
      <c r="F13" s="42"/>
      <c r="G13" s="42"/>
      <c r="H13" s="42"/>
      <c r="I13" s="42"/>
    </row>
    <row r="14" spans="1:9" x14ac:dyDescent="0.3">
      <c r="A14" s="42"/>
      <c r="B14" s="42"/>
      <c r="C14" s="42"/>
      <c r="D14" s="42"/>
      <c r="E14" s="42"/>
      <c r="F14" s="42"/>
      <c r="G14" s="42"/>
      <c r="H14" s="42"/>
      <c r="I14" s="42"/>
    </row>
    <row r="15" spans="1:9" x14ac:dyDescent="0.3">
      <c r="A15" s="42"/>
      <c r="B15" s="42"/>
      <c r="C15" s="42"/>
      <c r="D15" s="42"/>
      <c r="E15" s="42"/>
      <c r="F15" s="42"/>
      <c r="G15" s="42"/>
      <c r="H15" s="42"/>
      <c r="I15" s="42"/>
    </row>
  </sheetData>
  <mergeCells count="1">
    <mergeCell ref="A1:I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opLeftCell="A975" workbookViewId="0">
      <selection activeCell="E4" sqref="E4"/>
    </sheetView>
  </sheetViews>
  <sheetFormatPr defaultColWidth="12.69921875" defaultRowHeight="15" customHeight="1" x14ac:dyDescent="0.3"/>
  <cols>
    <col min="1" max="1" width="14.3984375" style="10" bestFit="1" customWidth="1"/>
    <col min="2" max="2" width="14.69921875" style="10" bestFit="1" customWidth="1"/>
    <col min="3" max="3" width="8.8984375" bestFit="1" customWidth="1"/>
    <col min="4" max="4" width="19.296875" style="10" bestFit="1" customWidth="1"/>
    <col min="5" max="5" width="16.796875" bestFit="1" customWidth="1"/>
    <col min="6" max="6" width="19.3984375" style="16" bestFit="1" customWidth="1"/>
    <col min="7" max="7" width="20.3984375" style="19" bestFit="1" customWidth="1"/>
    <col min="8" max="8" width="19.09765625" style="10" bestFit="1" customWidth="1"/>
    <col min="9" max="9" width="15.296875" style="10" bestFit="1" customWidth="1"/>
    <col min="10" max="10" width="18.8984375" bestFit="1" customWidth="1"/>
    <col min="11" max="11" width="17.09765625" style="24" bestFit="1" customWidth="1"/>
    <col min="12" max="15" width="7.3984375" customWidth="1"/>
    <col min="16" max="16" width="14.69921875" customWidth="1"/>
    <col min="17" max="18" width="8.69921875" customWidth="1"/>
    <col min="19" max="19" width="10.69921875" customWidth="1"/>
    <col min="20" max="25" width="8.69921875" customWidth="1"/>
  </cols>
  <sheetData>
    <row r="1" spans="1:11" ht="14.25" customHeight="1" x14ac:dyDescent="0.3">
      <c r="A1" s="8" t="s">
        <v>0</v>
      </c>
      <c r="B1" s="8" t="s">
        <v>1</v>
      </c>
      <c r="C1" s="13" t="s">
        <v>2</v>
      </c>
      <c r="D1" s="11" t="s">
        <v>3</v>
      </c>
      <c r="E1" s="7" t="s">
        <v>4</v>
      </c>
      <c r="F1" s="14" t="s">
        <v>5</v>
      </c>
      <c r="G1" s="17" t="s">
        <v>6</v>
      </c>
      <c r="H1" s="20" t="s">
        <v>7</v>
      </c>
      <c r="I1" s="20" t="s">
        <v>8</v>
      </c>
      <c r="J1" s="1" t="s">
        <v>9</v>
      </c>
      <c r="K1" s="22" t="s">
        <v>10</v>
      </c>
    </row>
    <row r="2" spans="1:11" ht="14.25" customHeight="1" x14ac:dyDescent="0.3">
      <c r="A2" s="9" t="s">
        <v>11</v>
      </c>
      <c r="B2" s="9" t="s">
        <v>12</v>
      </c>
      <c r="C2" s="2">
        <v>116</v>
      </c>
      <c r="D2" s="12" t="s">
        <v>13</v>
      </c>
      <c r="E2" s="3">
        <v>44927</v>
      </c>
      <c r="F2" s="15">
        <v>128</v>
      </c>
      <c r="G2" s="18">
        <v>4.9000000000000004</v>
      </c>
      <c r="H2" s="9">
        <f>IF(MONTH(Data!$E2)&lt;=6, YEAR(Data!$E2), YEAR(Data!$E2)+1)</f>
        <v>2023</v>
      </c>
      <c r="I2" s="9" t="str">
        <f>TEXT(Data!$E2,"DDDD")</f>
        <v>Sunday</v>
      </c>
      <c r="J2" s="9" t="s">
        <v>14</v>
      </c>
      <c r="K2" s="23">
        <f>ROUND(Data!$G2,0)</f>
        <v>5</v>
      </c>
    </row>
    <row r="3" spans="1:11" ht="14.25" customHeight="1" x14ac:dyDescent="0.3">
      <c r="A3" s="9" t="s">
        <v>15</v>
      </c>
      <c r="B3" s="9" t="s">
        <v>16</v>
      </c>
      <c r="C3" s="4">
        <v>119</v>
      </c>
      <c r="D3" s="12" t="s">
        <v>13</v>
      </c>
      <c r="E3" s="3">
        <v>44927</v>
      </c>
      <c r="F3" s="15">
        <v>135</v>
      </c>
      <c r="G3" s="18">
        <v>2.9</v>
      </c>
      <c r="H3" s="9">
        <f>IF(MONTH(Data!$E3)&lt;=6, YEAR(Data!$E3), YEAR(Data!$E3)+1)</f>
        <v>2023</v>
      </c>
      <c r="I3" s="9" t="str">
        <f>TEXT(Data!$E3,"DDDD")</f>
        <v>Sunday</v>
      </c>
      <c r="J3" s="9" t="s">
        <v>14</v>
      </c>
      <c r="K3" s="23">
        <f>ROUND(Data!$G3,0)</f>
        <v>3</v>
      </c>
    </row>
    <row r="4" spans="1:11" ht="14.25" customHeight="1" x14ac:dyDescent="0.3">
      <c r="A4" s="9" t="s">
        <v>17</v>
      </c>
      <c r="B4" s="9" t="s">
        <v>18</v>
      </c>
      <c r="C4" s="2">
        <v>68</v>
      </c>
      <c r="D4" s="12" t="s">
        <v>19</v>
      </c>
      <c r="E4" s="3">
        <v>44927</v>
      </c>
      <c r="F4" s="15">
        <v>66</v>
      </c>
      <c r="G4" s="18">
        <v>4.7</v>
      </c>
      <c r="H4" s="9">
        <f>IF(MONTH(Data!$E4)&lt;=6, YEAR(Data!$E4), YEAR(Data!$E4)+1)</f>
        <v>2023</v>
      </c>
      <c r="I4" s="9" t="str">
        <f>TEXT(Data!$E4,"DDDD")</f>
        <v>Sunday</v>
      </c>
      <c r="J4" s="9" t="s">
        <v>14</v>
      </c>
      <c r="K4" s="23">
        <f>ROUND(Data!$G4,0)</f>
        <v>5</v>
      </c>
    </row>
    <row r="5" spans="1:11" ht="14.25" customHeight="1" x14ac:dyDescent="0.3">
      <c r="A5" s="9" t="s">
        <v>20</v>
      </c>
      <c r="B5" s="9" t="s">
        <v>21</v>
      </c>
      <c r="C5" s="2">
        <v>119</v>
      </c>
      <c r="D5" s="12" t="s">
        <v>19</v>
      </c>
      <c r="E5" s="3">
        <v>44927</v>
      </c>
      <c r="F5" s="15">
        <v>22</v>
      </c>
      <c r="G5" s="18">
        <v>2.9</v>
      </c>
      <c r="H5" s="9">
        <f>IF(MONTH(Data!$E5)&lt;=6, YEAR(Data!$E5), YEAR(Data!$E5)+1)</f>
        <v>2023</v>
      </c>
      <c r="I5" s="9" t="str">
        <f>TEXT(Data!$E5,"DDDD")</f>
        <v>Sunday</v>
      </c>
      <c r="J5" s="9" t="s">
        <v>14</v>
      </c>
      <c r="K5" s="23">
        <f>ROUND(Data!$G5,0)</f>
        <v>3</v>
      </c>
    </row>
    <row r="6" spans="1:11" ht="14.25" customHeight="1" x14ac:dyDescent="0.3">
      <c r="A6" s="9" t="s">
        <v>22</v>
      </c>
      <c r="B6" s="9" t="s">
        <v>23</v>
      </c>
      <c r="C6" s="2">
        <v>128</v>
      </c>
      <c r="D6" s="12" t="s">
        <v>24</v>
      </c>
      <c r="E6" s="3">
        <v>44928</v>
      </c>
      <c r="F6" s="15">
        <v>31</v>
      </c>
      <c r="G6" s="18">
        <v>2.8</v>
      </c>
      <c r="H6" s="9">
        <f>IF(MONTH(Data!$E6)&lt;=6, YEAR(Data!$E6), YEAR(Data!$E6)+1)</f>
        <v>2023</v>
      </c>
      <c r="I6" s="9" t="str">
        <f>TEXT(Data!$E6,"DDDD")</f>
        <v>Monday</v>
      </c>
      <c r="J6" s="9" t="s">
        <v>25</v>
      </c>
      <c r="K6" s="23">
        <f>ROUND(Data!$G6,0)</f>
        <v>3</v>
      </c>
    </row>
    <row r="7" spans="1:11" ht="14.25" customHeight="1" x14ac:dyDescent="0.3">
      <c r="A7" s="9" t="s">
        <v>26</v>
      </c>
      <c r="B7" s="9" t="s">
        <v>23</v>
      </c>
      <c r="C7" s="2">
        <v>49</v>
      </c>
      <c r="D7" s="12" t="s">
        <v>19</v>
      </c>
      <c r="E7" s="3">
        <v>44929</v>
      </c>
      <c r="F7" s="15">
        <v>135</v>
      </c>
      <c r="G7" s="18">
        <v>4.8</v>
      </c>
      <c r="H7" s="9">
        <f>IF(MONTH(Data!$E7)&lt;=6, YEAR(Data!$E7), YEAR(Data!$E7)+1)</f>
        <v>2023</v>
      </c>
      <c r="I7" s="9" t="str">
        <f>TEXT(Data!$E7,"DDDD")</f>
        <v>Tuesday</v>
      </c>
      <c r="J7" s="9" t="s">
        <v>27</v>
      </c>
      <c r="K7" s="23">
        <f>ROUND(Data!$G7,0)</f>
        <v>5</v>
      </c>
    </row>
    <row r="8" spans="1:11" ht="14.25" customHeight="1" x14ac:dyDescent="0.3">
      <c r="A8" s="9" t="s">
        <v>28</v>
      </c>
      <c r="B8" s="9" t="s">
        <v>29</v>
      </c>
      <c r="C8" s="2">
        <v>84</v>
      </c>
      <c r="D8" s="12" t="s">
        <v>13</v>
      </c>
      <c r="E8" s="3">
        <v>44929</v>
      </c>
      <c r="F8" s="15">
        <v>60</v>
      </c>
      <c r="G8" s="18">
        <v>4.7</v>
      </c>
      <c r="H8" s="9">
        <f>IF(MONTH(Data!$E8)&lt;=6, YEAR(Data!$E8), YEAR(Data!$E8)+1)</f>
        <v>2023</v>
      </c>
      <c r="I8" s="9" t="str">
        <f>TEXT(Data!$E8,"DDDD")</f>
        <v>Tuesday</v>
      </c>
      <c r="J8" s="9" t="s">
        <v>14</v>
      </c>
      <c r="K8" s="23">
        <f>ROUND(Data!$G8,0)</f>
        <v>5</v>
      </c>
    </row>
    <row r="9" spans="1:11" ht="14.25" customHeight="1" x14ac:dyDescent="0.3">
      <c r="A9" s="9" t="s">
        <v>30</v>
      </c>
      <c r="B9" s="9" t="s">
        <v>12</v>
      </c>
      <c r="C9" s="2">
        <v>103</v>
      </c>
      <c r="D9" s="12" t="s">
        <v>31</v>
      </c>
      <c r="E9" s="3">
        <v>44929</v>
      </c>
      <c r="F9" s="15">
        <v>148</v>
      </c>
      <c r="G9" s="18">
        <v>4.4000000000000004</v>
      </c>
      <c r="H9" s="9">
        <f>IF(MONTH(Data!$E9)&lt;=6, YEAR(Data!$E9), YEAR(Data!$E9)+1)</f>
        <v>2023</v>
      </c>
      <c r="I9" s="9" t="str">
        <f>TEXT(Data!$E9,"DDDD")</f>
        <v>Tuesday</v>
      </c>
      <c r="J9" s="9" t="s">
        <v>14</v>
      </c>
      <c r="K9" s="23">
        <f>ROUND(Data!$G9,0)</f>
        <v>4</v>
      </c>
    </row>
    <row r="10" spans="1:11" ht="14.25" customHeight="1" x14ac:dyDescent="0.3">
      <c r="A10" s="9" t="s">
        <v>32</v>
      </c>
      <c r="B10" s="9" t="s">
        <v>18</v>
      </c>
      <c r="C10" s="2">
        <v>31</v>
      </c>
      <c r="D10" s="12" t="s">
        <v>19</v>
      </c>
      <c r="E10" s="3">
        <v>44929</v>
      </c>
      <c r="F10" s="15">
        <v>135</v>
      </c>
      <c r="G10" s="18">
        <v>3.6</v>
      </c>
      <c r="H10" s="9">
        <f>IF(MONTH(Data!$E10)&lt;=6, YEAR(Data!$E10), YEAR(Data!$E10)+1)</f>
        <v>2023</v>
      </c>
      <c r="I10" s="9" t="str">
        <f>TEXT(Data!$E10,"DDDD")</f>
        <v>Tuesday</v>
      </c>
      <c r="J10" s="21" t="s">
        <v>27</v>
      </c>
      <c r="K10" s="23">
        <f>ROUND(Data!$G10,0)</f>
        <v>4</v>
      </c>
    </row>
    <row r="11" spans="1:11" ht="14.25" customHeight="1" x14ac:dyDescent="0.3">
      <c r="A11" s="9" t="s">
        <v>33</v>
      </c>
      <c r="B11" s="9" t="s">
        <v>34</v>
      </c>
      <c r="C11" s="2">
        <v>44</v>
      </c>
      <c r="D11" s="12" t="s">
        <v>35</v>
      </c>
      <c r="E11" s="3">
        <v>44929</v>
      </c>
      <c r="F11" s="15">
        <v>105</v>
      </c>
      <c r="G11" s="18">
        <v>2.9</v>
      </c>
      <c r="H11" s="9">
        <f>IF(MONTH(Data!$E11)&lt;=6, YEAR(Data!$E11), YEAR(Data!$E11)+1)</f>
        <v>2023</v>
      </c>
      <c r="I11" s="9" t="str">
        <f>TEXT(Data!$E11,"DDDD")</f>
        <v>Tuesday</v>
      </c>
      <c r="J11" s="9" t="s">
        <v>27</v>
      </c>
      <c r="K11" s="23">
        <f>ROUND(Data!$G11,0)</f>
        <v>3</v>
      </c>
    </row>
    <row r="12" spans="1:11" ht="14.25" customHeight="1" x14ac:dyDescent="0.3">
      <c r="A12" s="9" t="s">
        <v>36</v>
      </c>
      <c r="B12" s="9" t="s">
        <v>23</v>
      </c>
      <c r="C12" s="2">
        <v>102</v>
      </c>
      <c r="D12" s="12" t="s">
        <v>19</v>
      </c>
      <c r="E12" s="5">
        <v>44929</v>
      </c>
      <c r="F12" s="15">
        <v>69</v>
      </c>
      <c r="G12" s="18">
        <v>4.9000000000000004</v>
      </c>
      <c r="H12" s="9">
        <f>IF(MONTH(Data!$E12)&lt;=6, YEAR(Data!$E12), YEAR(Data!$E12)+1)</f>
        <v>2023</v>
      </c>
      <c r="I12" s="9" t="str">
        <f>TEXT(Data!$E12,"DDDD")</f>
        <v>Tuesday</v>
      </c>
      <c r="J12" s="9" t="s">
        <v>14</v>
      </c>
      <c r="K12" s="23">
        <f>ROUND(Data!$G12,0)</f>
        <v>5</v>
      </c>
    </row>
    <row r="13" spans="1:11" ht="14.25" customHeight="1" x14ac:dyDescent="0.3">
      <c r="A13" s="9" t="s">
        <v>37</v>
      </c>
      <c r="B13" s="9" t="s">
        <v>38</v>
      </c>
      <c r="C13" s="2">
        <v>135</v>
      </c>
      <c r="D13" s="12" t="s">
        <v>13</v>
      </c>
      <c r="E13" s="3">
        <v>44929</v>
      </c>
      <c r="F13" s="15">
        <v>46</v>
      </c>
      <c r="G13" s="18">
        <v>3.4</v>
      </c>
      <c r="H13" s="9">
        <f>IF(MONTH(Data!$E13)&lt;=6, YEAR(Data!$E13), YEAR(Data!$E13)+1)</f>
        <v>2023</v>
      </c>
      <c r="I13" s="9" t="str">
        <f>TEXT(Data!$E13,"DDDD")</f>
        <v>Tuesday</v>
      </c>
      <c r="J13" s="9" t="s">
        <v>25</v>
      </c>
      <c r="K13" s="23">
        <f>ROUND(Data!$G13,0)</f>
        <v>3</v>
      </c>
    </row>
    <row r="14" spans="1:11" ht="14.25" customHeight="1" x14ac:dyDescent="0.3">
      <c r="A14" s="9" t="s">
        <v>39</v>
      </c>
      <c r="B14" s="9" t="s">
        <v>40</v>
      </c>
      <c r="C14" s="2">
        <v>98</v>
      </c>
      <c r="D14" s="12" t="s">
        <v>19</v>
      </c>
      <c r="E14" s="3">
        <v>44930</v>
      </c>
      <c r="F14" s="15">
        <v>108</v>
      </c>
      <c r="G14" s="18">
        <v>3.5</v>
      </c>
      <c r="H14" s="9">
        <f>IF(MONTH(Data!$E14)&lt;=6, YEAR(Data!$E14), YEAR(Data!$E14)+1)</f>
        <v>2023</v>
      </c>
      <c r="I14" s="9" t="str">
        <f>TEXT(Data!$E14,"DDDD")</f>
        <v>Wednesday</v>
      </c>
      <c r="J14" s="9" t="s">
        <v>14</v>
      </c>
      <c r="K14" s="23">
        <f>ROUND(Data!$G14,0)</f>
        <v>4</v>
      </c>
    </row>
    <row r="15" spans="1:11" ht="14.25" customHeight="1" x14ac:dyDescent="0.3">
      <c r="A15" s="9" t="s">
        <v>41</v>
      </c>
      <c r="B15" s="9" t="s">
        <v>34</v>
      </c>
      <c r="C15" s="2">
        <v>139</v>
      </c>
      <c r="D15" s="12" t="s">
        <v>19</v>
      </c>
      <c r="E15" s="3">
        <v>44930</v>
      </c>
      <c r="F15" s="15">
        <v>96</v>
      </c>
      <c r="G15" s="18">
        <v>4</v>
      </c>
      <c r="H15" s="9">
        <f>IF(MONTH(Data!$E15)&lt;=6, YEAR(Data!$E15), YEAR(Data!$E15)+1)</f>
        <v>2023</v>
      </c>
      <c r="I15" s="9" t="str">
        <f>TEXT(Data!$E15,"DDDD")</f>
        <v>Wednesday</v>
      </c>
      <c r="J15" s="9" t="s">
        <v>25</v>
      </c>
      <c r="K15" s="23">
        <f>ROUND(Data!$G15,0)</f>
        <v>4</v>
      </c>
    </row>
    <row r="16" spans="1:11" ht="14.25" customHeight="1" x14ac:dyDescent="0.3">
      <c r="A16" s="9" t="s">
        <v>42</v>
      </c>
      <c r="B16" s="9" t="s">
        <v>38</v>
      </c>
      <c r="C16" s="2">
        <v>48</v>
      </c>
      <c r="D16" s="12" t="s">
        <v>24</v>
      </c>
      <c r="E16" s="3">
        <v>44930</v>
      </c>
      <c r="F16" s="15">
        <v>68</v>
      </c>
      <c r="G16" s="18">
        <v>4.9000000000000004</v>
      </c>
      <c r="H16" s="9">
        <f>IF(MONTH(Data!$E16)&lt;=6, YEAR(Data!$E16), YEAR(Data!$E16)+1)</f>
        <v>2023</v>
      </c>
      <c r="I16" s="9" t="str">
        <f>TEXT(Data!$E16,"DDDD")</f>
        <v>Wednesday</v>
      </c>
      <c r="J16" s="9" t="s">
        <v>27</v>
      </c>
      <c r="K16" s="23">
        <f>ROUND(Data!$G16,0)</f>
        <v>5</v>
      </c>
    </row>
    <row r="17" spans="1:11" ht="14.25" customHeight="1" x14ac:dyDescent="0.3">
      <c r="A17" s="9" t="s">
        <v>43</v>
      </c>
      <c r="B17" s="9" t="s">
        <v>34</v>
      </c>
      <c r="C17" s="2">
        <v>176</v>
      </c>
      <c r="D17" s="12" t="s">
        <v>13</v>
      </c>
      <c r="E17" s="3">
        <v>44931</v>
      </c>
      <c r="F17" s="15">
        <v>24</v>
      </c>
      <c r="G17" s="18">
        <v>4.8</v>
      </c>
      <c r="H17" s="9">
        <f>IF(MONTH(Data!$E17)&lt;=6, YEAR(Data!$E17), YEAR(Data!$E17)+1)</f>
        <v>2023</v>
      </c>
      <c r="I17" s="9" t="str">
        <f>TEXT(Data!$E17,"DDDD")</f>
        <v>Thursday</v>
      </c>
      <c r="J17" s="9" t="s">
        <v>25</v>
      </c>
      <c r="K17" s="23">
        <f>ROUND(Data!$G17,0)</f>
        <v>5</v>
      </c>
    </row>
    <row r="18" spans="1:11" ht="14.25" customHeight="1" x14ac:dyDescent="0.3">
      <c r="A18" s="9" t="s">
        <v>44</v>
      </c>
      <c r="B18" s="9" t="s">
        <v>34</v>
      </c>
      <c r="C18" s="2">
        <v>99</v>
      </c>
      <c r="D18" s="12" t="s">
        <v>24</v>
      </c>
      <c r="E18" s="3">
        <v>44931</v>
      </c>
      <c r="F18" s="15">
        <v>195</v>
      </c>
      <c r="G18" s="18">
        <v>3.9</v>
      </c>
      <c r="H18" s="9">
        <f>IF(MONTH(Data!$E18)&lt;=6, YEAR(Data!$E18), YEAR(Data!$E18)+1)</f>
        <v>2023</v>
      </c>
      <c r="I18" s="9" t="str">
        <f>TEXT(Data!$E18,"DDDD")</f>
        <v>Thursday</v>
      </c>
      <c r="J18" s="9" t="s">
        <v>14</v>
      </c>
      <c r="K18" s="23">
        <f>ROUND(Data!$G18,0)</f>
        <v>4</v>
      </c>
    </row>
    <row r="19" spans="1:11" ht="14.25" customHeight="1" x14ac:dyDescent="0.3">
      <c r="A19" s="9" t="s">
        <v>45</v>
      </c>
      <c r="B19" s="9" t="s">
        <v>46</v>
      </c>
      <c r="C19" s="2">
        <v>28</v>
      </c>
      <c r="D19" s="12" t="s">
        <v>35</v>
      </c>
      <c r="E19" s="3">
        <v>44931</v>
      </c>
      <c r="F19" s="15">
        <v>28</v>
      </c>
      <c r="G19" s="18">
        <v>3.8</v>
      </c>
      <c r="H19" s="9">
        <f>IF(MONTH(Data!$E19)&lt;=6, YEAR(Data!$E19), YEAR(Data!$E19)+1)</f>
        <v>2023</v>
      </c>
      <c r="I19" s="9" t="str">
        <f>TEXT(Data!$E19,"DDDD")</f>
        <v>Thursday</v>
      </c>
      <c r="J19" s="9" t="s">
        <v>47</v>
      </c>
      <c r="K19" s="23">
        <f>ROUND(Data!$G19,0)</f>
        <v>4</v>
      </c>
    </row>
    <row r="20" spans="1:11" ht="14.25" customHeight="1" x14ac:dyDescent="0.3">
      <c r="A20" s="9" t="s">
        <v>48</v>
      </c>
      <c r="B20" s="9" t="s">
        <v>29</v>
      </c>
      <c r="C20" s="2">
        <v>54</v>
      </c>
      <c r="D20" s="12" t="s">
        <v>19</v>
      </c>
      <c r="E20" s="3">
        <v>44931</v>
      </c>
      <c r="F20" s="15">
        <v>170</v>
      </c>
      <c r="G20" s="18">
        <v>4.3</v>
      </c>
      <c r="H20" s="9">
        <f>IF(MONTH(Data!$E20)&lt;=6, YEAR(Data!$E20), YEAR(Data!$E20)+1)</f>
        <v>2023</v>
      </c>
      <c r="I20" s="9" t="str">
        <f>TEXT(Data!$E20,"DDDD")</f>
        <v>Thursday</v>
      </c>
      <c r="J20" s="9" t="s">
        <v>27</v>
      </c>
      <c r="K20" s="23">
        <f>ROUND(Data!$G20,0)</f>
        <v>4</v>
      </c>
    </row>
    <row r="21" spans="1:11" ht="14.25" customHeight="1" x14ac:dyDescent="0.3">
      <c r="A21" s="9" t="s">
        <v>49</v>
      </c>
      <c r="B21" s="9" t="s">
        <v>50</v>
      </c>
      <c r="C21" s="2">
        <v>48</v>
      </c>
      <c r="D21" s="12" t="s">
        <v>13</v>
      </c>
      <c r="E21" s="3">
        <v>44932</v>
      </c>
      <c r="F21" s="15">
        <v>30</v>
      </c>
      <c r="G21" s="18">
        <v>4.4000000000000004</v>
      </c>
      <c r="H21" s="9">
        <f>IF(MONTH(Data!$E21)&lt;=6, YEAR(Data!$E21), YEAR(Data!$E21)+1)</f>
        <v>2023</v>
      </c>
      <c r="I21" s="9" t="str">
        <f>TEXT(Data!$E21,"DDDD")</f>
        <v>Friday</v>
      </c>
      <c r="J21" s="9" t="s">
        <v>27</v>
      </c>
      <c r="K21" s="23">
        <f>ROUND(Data!$G21,0)</f>
        <v>4</v>
      </c>
    </row>
    <row r="22" spans="1:11" ht="14.25" customHeight="1" x14ac:dyDescent="0.3">
      <c r="A22" s="9" t="s">
        <v>51</v>
      </c>
      <c r="B22" s="9" t="s">
        <v>16</v>
      </c>
      <c r="C22" s="2">
        <v>128</v>
      </c>
      <c r="D22" s="12" t="s">
        <v>13</v>
      </c>
      <c r="E22" s="3">
        <v>44932</v>
      </c>
      <c r="F22" s="15">
        <v>72</v>
      </c>
      <c r="G22" s="18">
        <v>5</v>
      </c>
      <c r="H22" s="9">
        <f>IF(MONTH(Data!$E22)&lt;=6, YEAR(Data!$E22), YEAR(Data!$E22)+1)</f>
        <v>2023</v>
      </c>
      <c r="I22" s="9" t="str">
        <f>TEXT(Data!$E22,"DDDD")</f>
        <v>Friday</v>
      </c>
      <c r="J22" s="9" t="s">
        <v>25</v>
      </c>
      <c r="K22" s="23">
        <f>ROUND(Data!$G22,0)</f>
        <v>5</v>
      </c>
    </row>
    <row r="23" spans="1:11" ht="14.25" customHeight="1" x14ac:dyDescent="0.3">
      <c r="A23" s="9" t="s">
        <v>52</v>
      </c>
      <c r="B23" s="9" t="s">
        <v>16</v>
      </c>
      <c r="C23" s="2">
        <v>38</v>
      </c>
      <c r="D23" s="12" t="s">
        <v>31</v>
      </c>
      <c r="E23" s="3">
        <v>44933</v>
      </c>
      <c r="F23" s="15">
        <v>92</v>
      </c>
      <c r="G23" s="18">
        <v>4.9000000000000004</v>
      </c>
      <c r="H23" s="9">
        <f>IF(MONTH(Data!$E23)&lt;=6, YEAR(Data!$E23), YEAR(Data!$E23)+1)</f>
        <v>2023</v>
      </c>
      <c r="I23" s="9" t="str">
        <f>TEXT(Data!$E23,"DDDD")</f>
        <v>Saturday</v>
      </c>
      <c r="J23" s="9" t="s">
        <v>27</v>
      </c>
      <c r="K23" s="23">
        <f>ROUND(Data!$G23,0)</f>
        <v>5</v>
      </c>
    </row>
    <row r="24" spans="1:11" ht="14.25" customHeight="1" x14ac:dyDescent="0.3">
      <c r="A24" s="9" t="s">
        <v>53</v>
      </c>
      <c r="B24" s="9" t="s">
        <v>12</v>
      </c>
      <c r="C24" s="2">
        <v>67</v>
      </c>
      <c r="D24" s="12" t="s">
        <v>31</v>
      </c>
      <c r="E24" s="3">
        <v>44934</v>
      </c>
      <c r="F24" s="15">
        <v>165</v>
      </c>
      <c r="G24" s="18">
        <v>4.5</v>
      </c>
      <c r="H24" s="9">
        <f>IF(MONTH(Data!$E24)&lt;=6, YEAR(Data!$E24), YEAR(Data!$E24)+1)</f>
        <v>2023</v>
      </c>
      <c r="I24" s="9" t="str">
        <f>TEXT(Data!$E24,"DDDD")</f>
        <v>Sunday</v>
      </c>
      <c r="J24" s="9" t="s">
        <v>14</v>
      </c>
      <c r="K24" s="23">
        <f>ROUND(Data!$G24,0)</f>
        <v>5</v>
      </c>
    </row>
    <row r="25" spans="1:11" ht="14.25" customHeight="1" x14ac:dyDescent="0.3">
      <c r="A25" s="9" t="s">
        <v>54</v>
      </c>
      <c r="B25" s="9" t="s">
        <v>55</v>
      </c>
      <c r="C25" s="2">
        <v>58</v>
      </c>
      <c r="D25" s="12" t="s">
        <v>19</v>
      </c>
      <c r="E25" s="3">
        <v>44934</v>
      </c>
      <c r="F25" s="15">
        <v>140</v>
      </c>
      <c r="G25" s="18">
        <v>2.1</v>
      </c>
      <c r="H25" s="9">
        <f>IF(MONTH(Data!$E25)&lt;=6, YEAR(Data!$E25), YEAR(Data!$E25)+1)</f>
        <v>2023</v>
      </c>
      <c r="I25" s="9" t="str">
        <f>TEXT(Data!$E25,"DDDD")</f>
        <v>Sunday</v>
      </c>
      <c r="J25" s="9" t="s">
        <v>27</v>
      </c>
      <c r="K25" s="23">
        <f>ROUND(Data!$G25,0)</f>
        <v>2</v>
      </c>
    </row>
    <row r="26" spans="1:11" ht="14.25" customHeight="1" x14ac:dyDescent="0.3">
      <c r="A26" s="9" t="s">
        <v>56</v>
      </c>
      <c r="B26" s="9" t="s">
        <v>34</v>
      </c>
      <c r="C26" s="2">
        <v>54</v>
      </c>
      <c r="D26" s="12" t="s">
        <v>24</v>
      </c>
      <c r="E26" s="3">
        <v>44934</v>
      </c>
      <c r="F26" s="15">
        <v>111</v>
      </c>
      <c r="G26" s="18">
        <v>3.3</v>
      </c>
      <c r="H26" s="9">
        <f>IF(MONTH(Data!$E26)&lt;=6, YEAR(Data!$E26), YEAR(Data!$E26)+1)</f>
        <v>2023</v>
      </c>
      <c r="I26" s="9" t="str">
        <f>TEXT(Data!$E26,"DDDD")</f>
        <v>Sunday</v>
      </c>
      <c r="J26" s="9" t="s">
        <v>27</v>
      </c>
      <c r="K26" s="23">
        <f>ROUND(Data!$G26,0)</f>
        <v>3</v>
      </c>
    </row>
    <row r="27" spans="1:11" ht="14.25" customHeight="1" x14ac:dyDescent="0.3">
      <c r="A27" s="9" t="s">
        <v>57</v>
      </c>
      <c r="B27" s="9" t="s">
        <v>58</v>
      </c>
      <c r="C27" s="2">
        <v>28</v>
      </c>
      <c r="D27" s="12" t="s">
        <v>13</v>
      </c>
      <c r="E27" s="3">
        <v>44935</v>
      </c>
      <c r="F27" s="15">
        <v>63</v>
      </c>
      <c r="G27" s="18">
        <v>4.0999999999999996</v>
      </c>
      <c r="H27" s="9">
        <f>IF(MONTH(Data!$E27)&lt;=6, YEAR(Data!$E27), YEAR(Data!$E27)+1)</f>
        <v>2023</v>
      </c>
      <c r="I27" s="9" t="str">
        <f>TEXT(Data!$E27,"DDDD")</f>
        <v>Monday</v>
      </c>
      <c r="J27" s="9" t="s">
        <v>47</v>
      </c>
      <c r="K27" s="23">
        <f>ROUND(Data!$G27,0)</f>
        <v>4</v>
      </c>
    </row>
    <row r="28" spans="1:11" ht="14.25" customHeight="1" x14ac:dyDescent="0.3">
      <c r="A28" s="9" t="s">
        <v>59</v>
      </c>
      <c r="B28" s="9" t="s">
        <v>40</v>
      </c>
      <c r="C28" s="2">
        <v>73</v>
      </c>
      <c r="D28" s="12" t="s">
        <v>13</v>
      </c>
      <c r="E28" s="3">
        <v>44935</v>
      </c>
      <c r="F28" s="15">
        <v>80</v>
      </c>
      <c r="G28" s="18">
        <v>4.2</v>
      </c>
      <c r="H28" s="9">
        <f>IF(MONTH(Data!$E28)&lt;=6, YEAR(Data!$E28), YEAR(Data!$E28)+1)</f>
        <v>2023</v>
      </c>
      <c r="I28" s="9" t="str">
        <f>TEXT(Data!$E28,"DDDD")</f>
        <v>Monday</v>
      </c>
      <c r="J28" s="9" t="s">
        <v>14</v>
      </c>
      <c r="K28" s="23">
        <f>ROUND(Data!$G28,0)</f>
        <v>4</v>
      </c>
    </row>
    <row r="29" spans="1:11" ht="14.25" customHeight="1" x14ac:dyDescent="0.3">
      <c r="A29" s="9" t="s">
        <v>60</v>
      </c>
      <c r="B29" s="9" t="s">
        <v>23</v>
      </c>
      <c r="C29" s="2">
        <v>81</v>
      </c>
      <c r="D29" s="12" t="s">
        <v>13</v>
      </c>
      <c r="E29" s="3">
        <v>44936</v>
      </c>
      <c r="F29" s="15">
        <v>50</v>
      </c>
      <c r="G29" s="18">
        <v>4.5999999999999996</v>
      </c>
      <c r="H29" s="9">
        <f>IF(MONTH(Data!$E29)&lt;=6, YEAR(Data!$E29), YEAR(Data!$E29)+1)</f>
        <v>2023</v>
      </c>
      <c r="I29" s="9" t="str">
        <f>TEXT(Data!$E29,"DDDD")</f>
        <v>Tuesday</v>
      </c>
      <c r="J29" s="9" t="s">
        <v>14</v>
      </c>
      <c r="K29" s="23">
        <f>ROUND(Data!$G29,0)</f>
        <v>5</v>
      </c>
    </row>
    <row r="30" spans="1:11" ht="14.25" customHeight="1" x14ac:dyDescent="0.3">
      <c r="A30" s="9" t="s">
        <v>61</v>
      </c>
      <c r="B30" s="9" t="s">
        <v>46</v>
      </c>
      <c r="C30" s="2">
        <v>31</v>
      </c>
      <c r="D30" s="12" t="s">
        <v>31</v>
      </c>
      <c r="E30" s="3">
        <v>44936</v>
      </c>
      <c r="F30" s="15">
        <v>123</v>
      </c>
      <c r="G30" s="18">
        <v>2.9</v>
      </c>
      <c r="H30" s="9">
        <f>IF(MONTH(Data!$E30)&lt;=6, YEAR(Data!$E30), YEAR(Data!$E30)+1)</f>
        <v>2023</v>
      </c>
      <c r="I30" s="9" t="str">
        <f>TEXT(Data!$E30,"DDDD")</f>
        <v>Tuesday</v>
      </c>
      <c r="J30" s="9" t="s">
        <v>27</v>
      </c>
      <c r="K30" s="23">
        <f>ROUND(Data!$G30,0)</f>
        <v>3</v>
      </c>
    </row>
    <row r="31" spans="1:11" ht="14.25" customHeight="1" x14ac:dyDescent="0.3">
      <c r="A31" s="9" t="s">
        <v>62</v>
      </c>
      <c r="B31" s="9" t="s">
        <v>55</v>
      </c>
      <c r="C31" s="2">
        <v>155</v>
      </c>
      <c r="D31" s="12" t="s">
        <v>24</v>
      </c>
      <c r="E31" s="3">
        <v>44936</v>
      </c>
      <c r="F31" s="15">
        <v>110</v>
      </c>
      <c r="G31" s="18">
        <v>4.8</v>
      </c>
      <c r="H31" s="9">
        <f>IF(MONTH(Data!$E31)&lt;=6, YEAR(Data!$E31), YEAR(Data!$E31)+1)</f>
        <v>2023</v>
      </c>
      <c r="I31" s="9" t="str">
        <f>TEXT(Data!$E31,"DDDD")</f>
        <v>Tuesday</v>
      </c>
      <c r="J31" s="9" t="s">
        <v>25</v>
      </c>
      <c r="K31" s="23">
        <f>ROUND(Data!$G31,0)</f>
        <v>5</v>
      </c>
    </row>
    <row r="32" spans="1:11" ht="14.25" customHeight="1" x14ac:dyDescent="0.3">
      <c r="A32" s="9" t="s">
        <v>63</v>
      </c>
      <c r="B32" s="9" t="s">
        <v>46</v>
      </c>
      <c r="C32" s="2">
        <v>80</v>
      </c>
      <c r="D32" s="12" t="s">
        <v>13</v>
      </c>
      <c r="E32" s="3">
        <v>44936</v>
      </c>
      <c r="F32" s="15">
        <v>140</v>
      </c>
      <c r="G32" s="18">
        <v>4.2</v>
      </c>
      <c r="H32" s="9">
        <f>IF(MONTH(Data!$E32)&lt;=6, YEAR(Data!$E32), YEAR(Data!$E32)+1)</f>
        <v>2023</v>
      </c>
      <c r="I32" s="9" t="str">
        <f>TEXT(Data!$E32,"DDDD")</f>
        <v>Tuesday</v>
      </c>
      <c r="J32" s="9" t="s">
        <v>14</v>
      </c>
      <c r="K32" s="23">
        <f>ROUND(Data!$G32,0)</f>
        <v>4</v>
      </c>
    </row>
    <row r="33" spans="1:11" ht="14.25" customHeight="1" x14ac:dyDescent="0.3">
      <c r="A33" s="9" t="s">
        <v>64</v>
      </c>
      <c r="B33" s="9" t="s">
        <v>23</v>
      </c>
      <c r="C33" s="2">
        <v>82</v>
      </c>
      <c r="D33" s="12" t="s">
        <v>13</v>
      </c>
      <c r="E33" s="3">
        <v>44938</v>
      </c>
      <c r="F33" s="15">
        <v>42</v>
      </c>
      <c r="G33" s="18">
        <v>3.7</v>
      </c>
      <c r="H33" s="9">
        <f>IF(MONTH(Data!$E33)&lt;=6, YEAR(Data!$E33), YEAR(Data!$E33)+1)</f>
        <v>2023</v>
      </c>
      <c r="I33" s="9" t="str">
        <f>TEXT(Data!$E33,"DDDD")</f>
        <v>Thursday</v>
      </c>
      <c r="J33" s="9" t="s">
        <v>14</v>
      </c>
      <c r="K33" s="23">
        <f>ROUND(Data!$G33,0)</f>
        <v>4</v>
      </c>
    </row>
    <row r="34" spans="1:11" ht="14.25" customHeight="1" x14ac:dyDescent="0.3">
      <c r="A34" s="9" t="s">
        <v>65</v>
      </c>
      <c r="B34" s="9" t="s">
        <v>23</v>
      </c>
      <c r="C34" s="2">
        <v>29</v>
      </c>
      <c r="D34" s="12" t="s">
        <v>24</v>
      </c>
      <c r="E34" s="3">
        <v>44938</v>
      </c>
      <c r="F34" s="15">
        <v>170</v>
      </c>
      <c r="G34" s="18">
        <v>5</v>
      </c>
      <c r="H34" s="9">
        <f>IF(MONTH(Data!$E34)&lt;=6, YEAR(Data!$E34), YEAR(Data!$E34)+1)</f>
        <v>2023</v>
      </c>
      <c r="I34" s="9" t="str">
        <f>TEXT(Data!$E34,"DDDD")</f>
        <v>Thursday</v>
      </c>
      <c r="J34" s="9" t="s">
        <v>47</v>
      </c>
      <c r="K34" s="23">
        <f>ROUND(Data!$G34,0)</f>
        <v>5</v>
      </c>
    </row>
    <row r="35" spans="1:11" ht="14.25" customHeight="1" x14ac:dyDescent="0.3">
      <c r="A35" s="9" t="s">
        <v>66</v>
      </c>
      <c r="B35" s="9" t="s">
        <v>50</v>
      </c>
      <c r="C35" s="2">
        <v>160</v>
      </c>
      <c r="D35" s="12" t="s">
        <v>19</v>
      </c>
      <c r="E35" s="3">
        <v>44940</v>
      </c>
      <c r="F35" s="15">
        <v>105</v>
      </c>
      <c r="G35" s="18">
        <v>5</v>
      </c>
      <c r="H35" s="9">
        <f>IF(MONTH(Data!$E35)&lt;=6, YEAR(Data!$E35), YEAR(Data!$E35)+1)</f>
        <v>2023</v>
      </c>
      <c r="I35" s="9" t="str">
        <f>TEXT(Data!$E35,"DDDD")</f>
        <v>Saturday</v>
      </c>
      <c r="J35" s="9" t="s">
        <v>25</v>
      </c>
      <c r="K35" s="23">
        <f>ROUND(Data!$G35,0)</f>
        <v>5</v>
      </c>
    </row>
    <row r="36" spans="1:11" ht="14.25" customHeight="1" x14ac:dyDescent="0.3">
      <c r="A36" s="9" t="s">
        <v>67</v>
      </c>
      <c r="B36" s="9" t="s">
        <v>68</v>
      </c>
      <c r="C36" s="2">
        <v>105</v>
      </c>
      <c r="D36" s="12" t="s">
        <v>13</v>
      </c>
      <c r="E36" s="3">
        <v>44941</v>
      </c>
      <c r="F36" s="15">
        <v>125</v>
      </c>
      <c r="G36" s="18">
        <v>4.8</v>
      </c>
      <c r="H36" s="9">
        <f>IF(MONTH(Data!$E36)&lt;=6, YEAR(Data!$E36), YEAR(Data!$E36)+1)</f>
        <v>2023</v>
      </c>
      <c r="I36" s="9" t="str">
        <f>TEXT(Data!$E36,"DDDD")</f>
        <v>Sunday</v>
      </c>
      <c r="J36" s="9" t="s">
        <v>14</v>
      </c>
      <c r="K36" s="23">
        <f>ROUND(Data!$G36,0)</f>
        <v>5</v>
      </c>
    </row>
    <row r="37" spans="1:11" ht="14.25" customHeight="1" x14ac:dyDescent="0.3">
      <c r="A37" s="9" t="s">
        <v>69</v>
      </c>
      <c r="B37" s="9" t="s">
        <v>46</v>
      </c>
      <c r="C37" s="2">
        <v>75</v>
      </c>
      <c r="D37" s="12" t="s">
        <v>35</v>
      </c>
      <c r="E37" s="3">
        <v>44941</v>
      </c>
      <c r="F37" s="15">
        <v>26</v>
      </c>
      <c r="G37" s="18">
        <v>2.4</v>
      </c>
      <c r="H37" s="9">
        <f>IF(MONTH(Data!$E37)&lt;=6, YEAR(Data!$E37), YEAR(Data!$E37)+1)</f>
        <v>2023</v>
      </c>
      <c r="I37" s="9" t="str">
        <f>TEXT(Data!$E37,"DDDD")</f>
        <v>Sunday</v>
      </c>
      <c r="J37" s="9" t="s">
        <v>14</v>
      </c>
      <c r="K37" s="23">
        <f>ROUND(Data!$G37,0)</f>
        <v>2</v>
      </c>
    </row>
    <row r="38" spans="1:11" ht="14.25" customHeight="1" x14ac:dyDescent="0.3">
      <c r="A38" s="9" t="s">
        <v>70</v>
      </c>
      <c r="B38" s="9" t="s">
        <v>55</v>
      </c>
      <c r="C38" s="2">
        <v>94</v>
      </c>
      <c r="D38" s="12" t="s">
        <v>35</v>
      </c>
      <c r="E38" s="3">
        <v>44942</v>
      </c>
      <c r="F38" s="15">
        <v>120</v>
      </c>
      <c r="G38" s="18">
        <v>3.1</v>
      </c>
      <c r="H38" s="9">
        <f>IF(MONTH(Data!$E38)&lt;=6, YEAR(Data!$E38), YEAR(Data!$E38)+1)</f>
        <v>2023</v>
      </c>
      <c r="I38" s="9" t="str">
        <f>TEXT(Data!$E38,"DDDD")</f>
        <v>Monday</v>
      </c>
      <c r="J38" s="9" t="s">
        <v>14</v>
      </c>
      <c r="K38" s="23">
        <f>ROUND(Data!$G38,0)</f>
        <v>3</v>
      </c>
    </row>
    <row r="39" spans="1:11" ht="14.25" customHeight="1" x14ac:dyDescent="0.3">
      <c r="A39" s="9" t="s">
        <v>71</v>
      </c>
      <c r="B39" s="9" t="s">
        <v>16</v>
      </c>
      <c r="C39" s="2">
        <v>90</v>
      </c>
      <c r="D39" s="12" t="s">
        <v>19</v>
      </c>
      <c r="E39" s="3">
        <v>44942</v>
      </c>
      <c r="F39" s="15">
        <v>132</v>
      </c>
      <c r="G39" s="18">
        <v>3.2</v>
      </c>
      <c r="H39" s="9">
        <f>IF(MONTH(Data!$E39)&lt;=6, YEAR(Data!$E39), YEAR(Data!$E39)+1)</f>
        <v>2023</v>
      </c>
      <c r="I39" s="9" t="str">
        <f>TEXT(Data!$E39,"DDDD")</f>
        <v>Monday</v>
      </c>
      <c r="J39" s="9" t="s">
        <v>14</v>
      </c>
      <c r="K39" s="23">
        <f>ROUND(Data!$G39,0)</f>
        <v>3</v>
      </c>
    </row>
    <row r="40" spans="1:11" ht="14.25" customHeight="1" x14ac:dyDescent="0.3">
      <c r="A40" s="9" t="s">
        <v>72</v>
      </c>
      <c r="B40" s="9" t="s">
        <v>55</v>
      </c>
      <c r="C40" s="2">
        <v>81</v>
      </c>
      <c r="D40" s="12" t="s">
        <v>31</v>
      </c>
      <c r="E40" s="3">
        <v>44943</v>
      </c>
      <c r="F40" s="15">
        <v>86</v>
      </c>
      <c r="G40" s="18">
        <v>2.4</v>
      </c>
      <c r="H40" s="9">
        <f>IF(MONTH(Data!$E40)&lt;=6, YEAR(Data!$E40), YEAR(Data!$E40)+1)</f>
        <v>2023</v>
      </c>
      <c r="I40" s="9" t="str">
        <f>TEXT(Data!$E40,"DDDD")</f>
        <v>Tuesday</v>
      </c>
      <c r="J40" s="9" t="s">
        <v>14</v>
      </c>
      <c r="K40" s="23">
        <f>ROUND(Data!$G40,0)</f>
        <v>2</v>
      </c>
    </row>
    <row r="41" spans="1:11" ht="14.25" customHeight="1" x14ac:dyDescent="0.3">
      <c r="A41" s="9" t="s">
        <v>73</v>
      </c>
      <c r="B41" s="9" t="s">
        <v>46</v>
      </c>
      <c r="C41" s="2">
        <v>106</v>
      </c>
      <c r="D41" s="12" t="s">
        <v>13</v>
      </c>
      <c r="E41" s="3">
        <v>44943</v>
      </c>
      <c r="F41" s="15">
        <v>108</v>
      </c>
      <c r="G41" s="18">
        <v>5</v>
      </c>
      <c r="H41" s="9">
        <f>IF(MONTH(Data!$E41)&lt;=6, YEAR(Data!$E41), YEAR(Data!$E41)+1)</f>
        <v>2023</v>
      </c>
      <c r="I41" s="9" t="str">
        <f>TEXT(Data!$E41,"DDDD")</f>
        <v>Tuesday</v>
      </c>
      <c r="J41" s="9" t="s">
        <v>14</v>
      </c>
      <c r="K41" s="23">
        <f>ROUND(Data!$G41,0)</f>
        <v>5</v>
      </c>
    </row>
    <row r="42" spans="1:11" ht="14.25" customHeight="1" x14ac:dyDescent="0.3">
      <c r="A42" s="9" t="s">
        <v>74</v>
      </c>
      <c r="B42" s="9" t="s">
        <v>16</v>
      </c>
      <c r="C42" s="2">
        <v>74</v>
      </c>
      <c r="D42" s="12" t="s">
        <v>31</v>
      </c>
      <c r="E42" s="3">
        <v>44943</v>
      </c>
      <c r="F42" s="15">
        <v>96</v>
      </c>
      <c r="G42" s="18">
        <v>4.7</v>
      </c>
      <c r="H42" s="9">
        <f>IF(MONTH(Data!$E42)&lt;=6, YEAR(Data!$E42), YEAR(Data!$E42)+1)</f>
        <v>2023</v>
      </c>
      <c r="I42" s="9" t="str">
        <f>TEXT(Data!$E42,"DDDD")</f>
        <v>Tuesday</v>
      </c>
      <c r="J42" s="9" t="s">
        <v>14</v>
      </c>
      <c r="K42" s="23">
        <f>ROUND(Data!$G42,0)</f>
        <v>5</v>
      </c>
    </row>
    <row r="43" spans="1:11" ht="14.25" customHeight="1" x14ac:dyDescent="0.3">
      <c r="A43" s="9" t="s">
        <v>75</v>
      </c>
      <c r="B43" s="9" t="s">
        <v>34</v>
      </c>
      <c r="C43" s="2">
        <v>105</v>
      </c>
      <c r="D43" s="12" t="s">
        <v>19</v>
      </c>
      <c r="E43" s="3">
        <v>44944</v>
      </c>
      <c r="F43" s="15">
        <v>80</v>
      </c>
      <c r="G43" s="18">
        <v>4.7</v>
      </c>
      <c r="H43" s="9">
        <f>IF(MONTH(Data!$E43)&lt;=6, YEAR(Data!$E43), YEAR(Data!$E43)+1)</f>
        <v>2023</v>
      </c>
      <c r="I43" s="9" t="str">
        <f>TEXT(Data!$E43,"DDDD")</f>
        <v>Wednesday</v>
      </c>
      <c r="J43" s="9" t="s">
        <v>14</v>
      </c>
      <c r="K43" s="23">
        <f>ROUND(Data!$G43,0)</f>
        <v>5</v>
      </c>
    </row>
    <row r="44" spans="1:11" ht="14.25" customHeight="1" x14ac:dyDescent="0.3">
      <c r="A44" s="9" t="s">
        <v>76</v>
      </c>
      <c r="B44" s="9" t="s">
        <v>46</v>
      </c>
      <c r="C44" s="2">
        <v>89</v>
      </c>
      <c r="D44" s="12" t="s">
        <v>13</v>
      </c>
      <c r="E44" s="3">
        <v>44944</v>
      </c>
      <c r="F44" s="15">
        <v>155</v>
      </c>
      <c r="G44" s="18">
        <v>4.0999999999999996</v>
      </c>
      <c r="H44" s="9">
        <f>IF(MONTH(Data!$E44)&lt;=6, YEAR(Data!$E44), YEAR(Data!$E44)+1)</f>
        <v>2023</v>
      </c>
      <c r="I44" s="9" t="str">
        <f>TEXT(Data!$E44,"DDDD")</f>
        <v>Wednesday</v>
      </c>
      <c r="J44" s="9" t="s">
        <v>14</v>
      </c>
      <c r="K44" s="23">
        <f>ROUND(Data!$G44,0)</f>
        <v>4</v>
      </c>
    </row>
    <row r="45" spans="1:11" ht="14.25" customHeight="1" x14ac:dyDescent="0.3">
      <c r="A45" s="9" t="s">
        <v>77</v>
      </c>
      <c r="B45" s="9" t="s">
        <v>38</v>
      </c>
      <c r="C45" s="2">
        <v>132</v>
      </c>
      <c r="D45" s="12" t="s">
        <v>35</v>
      </c>
      <c r="E45" s="3">
        <v>44944</v>
      </c>
      <c r="F45" s="15">
        <v>168</v>
      </c>
      <c r="G45" s="18">
        <v>4.0999999999999996</v>
      </c>
      <c r="H45" s="9">
        <f>IF(MONTH(Data!$E45)&lt;=6, YEAR(Data!$E45), YEAR(Data!$E45)+1)</f>
        <v>2023</v>
      </c>
      <c r="I45" s="9" t="str">
        <f>TEXT(Data!$E45,"DDDD")</f>
        <v>Wednesday</v>
      </c>
      <c r="J45" s="9" t="s">
        <v>25</v>
      </c>
      <c r="K45" s="23">
        <f>ROUND(Data!$G45,0)</f>
        <v>4</v>
      </c>
    </row>
    <row r="46" spans="1:11" ht="14.25" customHeight="1" x14ac:dyDescent="0.3">
      <c r="A46" s="9" t="s">
        <v>78</v>
      </c>
      <c r="B46" s="9" t="s">
        <v>68</v>
      </c>
      <c r="C46" s="2">
        <v>105</v>
      </c>
      <c r="D46" s="12" t="s">
        <v>24</v>
      </c>
      <c r="E46" s="3">
        <v>44944</v>
      </c>
      <c r="F46" s="15">
        <v>56</v>
      </c>
      <c r="G46" s="18">
        <v>3.6</v>
      </c>
      <c r="H46" s="9">
        <f>IF(MONTH(Data!$E46)&lt;=6, YEAR(Data!$E46), YEAR(Data!$E46)+1)</f>
        <v>2023</v>
      </c>
      <c r="I46" s="9" t="str">
        <f>TEXT(Data!$E46,"DDDD")</f>
        <v>Wednesday</v>
      </c>
      <c r="J46" s="9" t="s">
        <v>14</v>
      </c>
      <c r="K46" s="23">
        <f>ROUND(Data!$G46,0)</f>
        <v>4</v>
      </c>
    </row>
    <row r="47" spans="1:11" ht="14.25" customHeight="1" x14ac:dyDescent="0.3">
      <c r="A47" s="9" t="s">
        <v>79</v>
      </c>
      <c r="B47" s="9" t="s">
        <v>23</v>
      </c>
      <c r="C47" s="2">
        <v>13</v>
      </c>
      <c r="D47" s="12" t="s">
        <v>35</v>
      </c>
      <c r="E47" s="3">
        <v>44945</v>
      </c>
      <c r="F47" s="15">
        <v>32</v>
      </c>
      <c r="G47" s="18">
        <v>4.4000000000000004</v>
      </c>
      <c r="H47" s="9">
        <f>IF(MONTH(Data!$E47)&lt;=6, YEAR(Data!$E47), YEAR(Data!$E47)+1)</f>
        <v>2023</v>
      </c>
      <c r="I47" s="9" t="str">
        <f>TEXT(Data!$E47,"DDDD")</f>
        <v>Thursday</v>
      </c>
      <c r="J47" s="9" t="s">
        <v>47</v>
      </c>
      <c r="K47" s="23">
        <f>ROUND(Data!$G47,0)</f>
        <v>4</v>
      </c>
    </row>
    <row r="48" spans="1:11" ht="14.25" customHeight="1" x14ac:dyDescent="0.3">
      <c r="A48" s="9" t="s">
        <v>80</v>
      </c>
      <c r="B48" s="9" t="s">
        <v>21</v>
      </c>
      <c r="C48" s="2">
        <v>131</v>
      </c>
      <c r="D48" s="12" t="s">
        <v>24</v>
      </c>
      <c r="E48" s="3">
        <v>44945</v>
      </c>
      <c r="F48" s="15">
        <v>78</v>
      </c>
      <c r="G48" s="18">
        <v>4.4000000000000004</v>
      </c>
      <c r="H48" s="9">
        <f>IF(MONTH(Data!$E48)&lt;=6, YEAR(Data!$E48), YEAR(Data!$E48)+1)</f>
        <v>2023</v>
      </c>
      <c r="I48" s="9" t="str">
        <f>TEXT(Data!$E48,"DDDD")</f>
        <v>Thursday</v>
      </c>
      <c r="J48" s="9" t="s">
        <v>25</v>
      </c>
      <c r="K48" s="23">
        <f>ROUND(Data!$G48,0)</f>
        <v>4</v>
      </c>
    </row>
    <row r="49" spans="1:11" ht="14.25" customHeight="1" x14ac:dyDescent="0.3">
      <c r="A49" s="9" t="s">
        <v>81</v>
      </c>
      <c r="B49" s="9" t="s">
        <v>16</v>
      </c>
      <c r="C49" s="2">
        <v>104</v>
      </c>
      <c r="D49" s="12" t="s">
        <v>13</v>
      </c>
      <c r="E49" s="3">
        <v>44945</v>
      </c>
      <c r="F49" s="15">
        <v>86</v>
      </c>
      <c r="G49" s="18">
        <v>4</v>
      </c>
      <c r="H49" s="9">
        <f>IF(MONTH(Data!$E49)&lt;=6, YEAR(Data!$E49), YEAR(Data!$E49)+1)</f>
        <v>2023</v>
      </c>
      <c r="I49" s="9" t="str">
        <f>TEXT(Data!$E49,"DDDD")</f>
        <v>Thursday</v>
      </c>
      <c r="J49" s="9" t="s">
        <v>14</v>
      </c>
      <c r="K49" s="23">
        <f>ROUND(Data!$G49,0)</f>
        <v>4</v>
      </c>
    </row>
    <row r="50" spans="1:11" ht="14.25" customHeight="1" x14ac:dyDescent="0.3">
      <c r="A50" s="9" t="s">
        <v>82</v>
      </c>
      <c r="B50" s="9" t="s">
        <v>12</v>
      </c>
      <c r="C50" s="2">
        <v>90</v>
      </c>
      <c r="D50" s="12" t="s">
        <v>19</v>
      </c>
      <c r="E50" s="3">
        <v>44946</v>
      </c>
      <c r="F50" s="15">
        <v>64</v>
      </c>
      <c r="G50" s="18">
        <v>3.8</v>
      </c>
      <c r="H50" s="9">
        <f>IF(MONTH(Data!$E50)&lt;=6, YEAR(Data!$E50), YEAR(Data!$E50)+1)</f>
        <v>2023</v>
      </c>
      <c r="I50" s="9" t="str">
        <f>TEXT(Data!$E50,"DDDD")</f>
        <v>Friday</v>
      </c>
      <c r="J50" s="9" t="s">
        <v>14</v>
      </c>
      <c r="K50" s="23">
        <f>ROUND(Data!$G50,0)</f>
        <v>4</v>
      </c>
    </row>
    <row r="51" spans="1:11" ht="14.25" customHeight="1" x14ac:dyDescent="0.3">
      <c r="A51" s="9" t="s">
        <v>83</v>
      </c>
      <c r="B51" s="9" t="s">
        <v>58</v>
      </c>
      <c r="C51" s="2">
        <v>37</v>
      </c>
      <c r="D51" s="12" t="s">
        <v>19</v>
      </c>
      <c r="E51" s="3">
        <v>44946</v>
      </c>
      <c r="F51" s="15">
        <v>96</v>
      </c>
      <c r="G51" s="18">
        <v>3.6</v>
      </c>
      <c r="H51" s="9">
        <f>IF(MONTH(Data!$E51)&lt;=6, YEAR(Data!$E51), YEAR(Data!$E51)+1)</f>
        <v>2023</v>
      </c>
      <c r="I51" s="9" t="str">
        <f>TEXT(Data!$E51,"DDDD")</f>
        <v>Friday</v>
      </c>
      <c r="J51" s="9" t="s">
        <v>27</v>
      </c>
      <c r="K51" s="23">
        <f>ROUND(Data!$G51,0)</f>
        <v>4</v>
      </c>
    </row>
    <row r="52" spans="1:11" ht="14.25" customHeight="1" x14ac:dyDescent="0.3">
      <c r="A52" s="9" t="s">
        <v>84</v>
      </c>
      <c r="B52" s="9" t="s">
        <v>40</v>
      </c>
      <c r="C52" s="2">
        <v>149</v>
      </c>
      <c r="D52" s="12" t="s">
        <v>24</v>
      </c>
      <c r="E52" s="3">
        <v>44946</v>
      </c>
      <c r="F52" s="15">
        <v>72</v>
      </c>
      <c r="G52" s="18">
        <v>4.3</v>
      </c>
      <c r="H52" s="9">
        <f>IF(MONTH(Data!$E52)&lt;=6, YEAR(Data!$E52), YEAR(Data!$E52)+1)</f>
        <v>2023</v>
      </c>
      <c r="I52" s="9" t="str">
        <f>TEXT(Data!$E52,"DDDD")</f>
        <v>Friday</v>
      </c>
      <c r="J52" s="9" t="s">
        <v>25</v>
      </c>
      <c r="K52" s="23">
        <f>ROUND(Data!$G52,0)</f>
        <v>4</v>
      </c>
    </row>
    <row r="53" spans="1:11" ht="14.25" customHeight="1" x14ac:dyDescent="0.3">
      <c r="A53" s="9" t="s">
        <v>85</v>
      </c>
      <c r="B53" s="9" t="s">
        <v>38</v>
      </c>
      <c r="C53" s="2">
        <v>100</v>
      </c>
      <c r="D53" s="12" t="s">
        <v>31</v>
      </c>
      <c r="E53" s="3">
        <v>44947</v>
      </c>
      <c r="F53" s="15">
        <v>135</v>
      </c>
      <c r="G53" s="18">
        <v>3.8</v>
      </c>
      <c r="H53" s="9">
        <f>IF(MONTH(Data!$E53)&lt;=6, YEAR(Data!$E53), YEAR(Data!$E53)+1)</f>
        <v>2023</v>
      </c>
      <c r="I53" s="9" t="str">
        <f>TEXT(Data!$E53,"DDDD")</f>
        <v>Saturday</v>
      </c>
      <c r="J53" s="9" t="s">
        <v>14</v>
      </c>
      <c r="K53" s="23">
        <f>ROUND(Data!$G53,0)</f>
        <v>4</v>
      </c>
    </row>
    <row r="54" spans="1:11" ht="14.25" customHeight="1" x14ac:dyDescent="0.3">
      <c r="A54" s="9" t="s">
        <v>86</v>
      </c>
      <c r="B54" s="9" t="s">
        <v>38</v>
      </c>
      <c r="C54" s="2">
        <v>79</v>
      </c>
      <c r="D54" s="12" t="s">
        <v>35</v>
      </c>
      <c r="E54" s="3">
        <v>44947</v>
      </c>
      <c r="F54" s="15">
        <v>140</v>
      </c>
      <c r="G54" s="18">
        <v>4.5</v>
      </c>
      <c r="H54" s="9">
        <f>IF(MONTH(Data!$E54)&lt;=6, YEAR(Data!$E54), YEAR(Data!$E54)+1)</f>
        <v>2023</v>
      </c>
      <c r="I54" s="9" t="str">
        <f>TEXT(Data!$E54,"DDDD")</f>
        <v>Saturday</v>
      </c>
      <c r="J54" s="9" t="s">
        <v>14</v>
      </c>
      <c r="K54" s="23">
        <f>ROUND(Data!$G54,0)</f>
        <v>5</v>
      </c>
    </row>
    <row r="55" spans="1:11" ht="14.25" customHeight="1" x14ac:dyDescent="0.3">
      <c r="A55" s="9" t="s">
        <v>87</v>
      </c>
      <c r="B55" s="9" t="s">
        <v>88</v>
      </c>
      <c r="C55" s="2">
        <v>157</v>
      </c>
      <c r="D55" s="12" t="s">
        <v>24</v>
      </c>
      <c r="E55" s="3">
        <v>44947</v>
      </c>
      <c r="F55" s="15">
        <v>69</v>
      </c>
      <c r="G55" s="18">
        <v>4.5</v>
      </c>
      <c r="H55" s="9">
        <f>IF(MONTH(Data!$E55)&lt;=6, YEAR(Data!$E55), YEAR(Data!$E55)+1)</f>
        <v>2023</v>
      </c>
      <c r="I55" s="9" t="str">
        <f>TEXT(Data!$E55,"DDDD")</f>
        <v>Saturday</v>
      </c>
      <c r="J55" s="9" t="s">
        <v>25</v>
      </c>
      <c r="K55" s="23">
        <f>ROUND(Data!$G55,0)</f>
        <v>5</v>
      </c>
    </row>
    <row r="56" spans="1:11" ht="14.25" customHeight="1" x14ac:dyDescent="0.3">
      <c r="A56" s="9" t="s">
        <v>89</v>
      </c>
      <c r="B56" s="9" t="s">
        <v>38</v>
      </c>
      <c r="C56" s="2">
        <v>59</v>
      </c>
      <c r="D56" s="12" t="s">
        <v>13</v>
      </c>
      <c r="E56" s="3">
        <v>44948</v>
      </c>
      <c r="F56" s="15">
        <v>136</v>
      </c>
      <c r="G56" s="18">
        <v>4.5999999999999996</v>
      </c>
      <c r="H56" s="9">
        <f>IF(MONTH(Data!$E56)&lt;=6, YEAR(Data!$E56), YEAR(Data!$E56)+1)</f>
        <v>2023</v>
      </c>
      <c r="I56" s="9" t="str">
        <f>TEXT(Data!$E56,"DDDD")</f>
        <v>Sunday</v>
      </c>
      <c r="J56" s="9" t="s">
        <v>27</v>
      </c>
      <c r="K56" s="23">
        <f>ROUND(Data!$G56,0)</f>
        <v>5</v>
      </c>
    </row>
    <row r="57" spans="1:11" ht="14.25" customHeight="1" x14ac:dyDescent="0.3">
      <c r="A57" s="9" t="s">
        <v>90</v>
      </c>
      <c r="B57" s="9" t="s">
        <v>58</v>
      </c>
      <c r="C57" s="2">
        <v>83</v>
      </c>
      <c r="D57" s="12" t="s">
        <v>24</v>
      </c>
      <c r="E57" s="3">
        <v>44948</v>
      </c>
      <c r="F57" s="15">
        <v>28</v>
      </c>
      <c r="G57" s="18">
        <v>4.5</v>
      </c>
      <c r="H57" s="9">
        <f>IF(MONTH(Data!$E57)&lt;=6, YEAR(Data!$E57), YEAR(Data!$E57)+1)</f>
        <v>2023</v>
      </c>
      <c r="I57" s="9" t="str">
        <f>TEXT(Data!$E57,"DDDD")</f>
        <v>Sunday</v>
      </c>
      <c r="J57" s="9" t="s">
        <v>14</v>
      </c>
      <c r="K57" s="23">
        <f>ROUND(Data!$G57,0)</f>
        <v>5</v>
      </c>
    </row>
    <row r="58" spans="1:11" ht="14.25" customHeight="1" x14ac:dyDescent="0.3">
      <c r="A58" s="9" t="s">
        <v>91</v>
      </c>
      <c r="B58" s="9" t="s">
        <v>88</v>
      </c>
      <c r="C58" s="2">
        <v>58</v>
      </c>
      <c r="D58" s="12" t="s">
        <v>19</v>
      </c>
      <c r="E58" s="3">
        <v>44949</v>
      </c>
      <c r="F58" s="15">
        <v>135</v>
      </c>
      <c r="G58" s="18">
        <v>3.3</v>
      </c>
      <c r="H58" s="9">
        <f>IF(MONTH(Data!$E58)&lt;=6, YEAR(Data!$E58), YEAR(Data!$E58)+1)</f>
        <v>2023</v>
      </c>
      <c r="I58" s="9" t="str">
        <f>TEXT(Data!$E58,"DDDD")</f>
        <v>Monday</v>
      </c>
      <c r="J58" s="9" t="s">
        <v>27</v>
      </c>
      <c r="K58" s="23">
        <f>ROUND(Data!$G58,0)</f>
        <v>3</v>
      </c>
    </row>
    <row r="59" spans="1:11" ht="14.25" customHeight="1" x14ac:dyDescent="0.3">
      <c r="A59" s="9" t="s">
        <v>92</v>
      </c>
      <c r="B59" s="9" t="s">
        <v>55</v>
      </c>
      <c r="C59" s="2">
        <v>118</v>
      </c>
      <c r="D59" s="12" t="s">
        <v>19</v>
      </c>
      <c r="E59" s="3">
        <v>44949</v>
      </c>
      <c r="F59" s="15">
        <v>126</v>
      </c>
      <c r="G59" s="18">
        <v>2.2999999999999998</v>
      </c>
      <c r="H59" s="9">
        <f>IF(MONTH(Data!$E59)&lt;=6, YEAR(Data!$E59), YEAR(Data!$E59)+1)</f>
        <v>2023</v>
      </c>
      <c r="I59" s="9" t="str">
        <f>TEXT(Data!$E59,"DDDD")</f>
        <v>Monday</v>
      </c>
      <c r="J59" s="9" t="s">
        <v>14</v>
      </c>
      <c r="K59" s="23">
        <f>ROUND(Data!$G59,0)</f>
        <v>2</v>
      </c>
    </row>
    <row r="60" spans="1:11" ht="14.25" customHeight="1" x14ac:dyDescent="0.3">
      <c r="A60" s="9" t="s">
        <v>93</v>
      </c>
      <c r="B60" s="9" t="s">
        <v>23</v>
      </c>
      <c r="C60" s="2">
        <v>63</v>
      </c>
      <c r="D60" s="12" t="s">
        <v>13</v>
      </c>
      <c r="E60" s="3">
        <v>44949</v>
      </c>
      <c r="F60" s="15">
        <v>160</v>
      </c>
      <c r="G60" s="18">
        <v>4.3</v>
      </c>
      <c r="H60" s="9">
        <f>IF(MONTH(Data!$E60)&lt;=6, YEAR(Data!$E60), YEAR(Data!$E60)+1)</f>
        <v>2023</v>
      </c>
      <c r="I60" s="9" t="str">
        <f>TEXT(Data!$E60,"DDDD")</f>
        <v>Monday</v>
      </c>
      <c r="J60" s="9" t="s">
        <v>14</v>
      </c>
      <c r="K60" s="23">
        <f>ROUND(Data!$G60,0)</f>
        <v>4</v>
      </c>
    </row>
    <row r="61" spans="1:11" ht="14.25" customHeight="1" x14ac:dyDescent="0.3">
      <c r="A61" s="9" t="s">
        <v>94</v>
      </c>
      <c r="B61" s="9" t="s">
        <v>88</v>
      </c>
      <c r="C61" s="2">
        <v>95</v>
      </c>
      <c r="D61" s="12" t="s">
        <v>19</v>
      </c>
      <c r="E61" s="3">
        <v>44950</v>
      </c>
      <c r="F61" s="15">
        <v>48</v>
      </c>
      <c r="G61" s="18">
        <v>4.5999999999999996</v>
      </c>
      <c r="H61" s="9">
        <f>IF(MONTH(Data!$E61)&lt;=6, YEAR(Data!$E61), YEAR(Data!$E61)+1)</f>
        <v>2023</v>
      </c>
      <c r="I61" s="9" t="str">
        <f>TEXT(Data!$E61,"DDDD")</f>
        <v>Tuesday</v>
      </c>
      <c r="J61" s="9" t="s">
        <v>14</v>
      </c>
      <c r="K61" s="23">
        <f>ROUND(Data!$G61,0)</f>
        <v>5</v>
      </c>
    </row>
    <row r="62" spans="1:11" ht="14.25" customHeight="1" x14ac:dyDescent="0.3">
      <c r="A62" s="9" t="s">
        <v>95</v>
      </c>
      <c r="B62" s="9" t="s">
        <v>38</v>
      </c>
      <c r="C62" s="2">
        <v>74</v>
      </c>
      <c r="D62" s="12" t="s">
        <v>24</v>
      </c>
      <c r="E62" s="3">
        <v>44950</v>
      </c>
      <c r="F62" s="15">
        <v>66</v>
      </c>
      <c r="G62" s="18">
        <v>4</v>
      </c>
      <c r="H62" s="9">
        <f>IF(MONTH(Data!$E62)&lt;=6, YEAR(Data!$E62), YEAR(Data!$E62)+1)</f>
        <v>2023</v>
      </c>
      <c r="I62" s="9" t="str">
        <f>TEXT(Data!$E62,"DDDD")</f>
        <v>Tuesday</v>
      </c>
      <c r="J62" s="9" t="s">
        <v>14</v>
      </c>
      <c r="K62" s="23">
        <f>ROUND(Data!$G62,0)</f>
        <v>4</v>
      </c>
    </row>
    <row r="63" spans="1:11" ht="14.25" customHeight="1" x14ac:dyDescent="0.3">
      <c r="A63" s="9" t="s">
        <v>96</v>
      </c>
      <c r="B63" s="9" t="s">
        <v>34</v>
      </c>
      <c r="C63" s="2">
        <v>130</v>
      </c>
      <c r="D63" s="12" t="s">
        <v>31</v>
      </c>
      <c r="E63" s="3">
        <v>44950</v>
      </c>
      <c r="F63" s="15">
        <v>126</v>
      </c>
      <c r="G63" s="18">
        <v>2.5</v>
      </c>
      <c r="H63" s="9">
        <f>IF(MONTH(Data!$E63)&lt;=6, YEAR(Data!$E63), YEAR(Data!$E63)+1)</f>
        <v>2023</v>
      </c>
      <c r="I63" s="9" t="str">
        <f>TEXT(Data!$E63,"DDDD")</f>
        <v>Tuesday</v>
      </c>
      <c r="J63" s="9" t="s">
        <v>25</v>
      </c>
      <c r="K63" s="23">
        <f>ROUND(Data!$G63,0)</f>
        <v>3</v>
      </c>
    </row>
    <row r="64" spans="1:11" ht="14.25" customHeight="1" x14ac:dyDescent="0.3">
      <c r="A64" s="9" t="s">
        <v>97</v>
      </c>
      <c r="B64" s="9" t="s">
        <v>55</v>
      </c>
      <c r="C64" s="2">
        <v>110</v>
      </c>
      <c r="D64" s="12" t="s">
        <v>35</v>
      </c>
      <c r="E64" s="3">
        <v>44950</v>
      </c>
      <c r="F64" s="15">
        <v>96</v>
      </c>
      <c r="G64" s="18">
        <v>5</v>
      </c>
      <c r="H64" s="9">
        <f>IF(MONTH(Data!$E64)&lt;=6, YEAR(Data!$E64), YEAR(Data!$E64)+1)</f>
        <v>2023</v>
      </c>
      <c r="I64" s="9" t="str">
        <f>TEXT(Data!$E64,"DDDD")</f>
        <v>Tuesday</v>
      </c>
      <c r="J64" s="9" t="s">
        <v>14</v>
      </c>
      <c r="K64" s="23">
        <f>ROUND(Data!$G64,0)</f>
        <v>5</v>
      </c>
    </row>
    <row r="65" spans="1:11" ht="14.25" customHeight="1" x14ac:dyDescent="0.3">
      <c r="A65" s="9" t="s">
        <v>98</v>
      </c>
      <c r="B65" s="9" t="s">
        <v>38</v>
      </c>
      <c r="C65" s="2">
        <v>71</v>
      </c>
      <c r="D65" s="12" t="s">
        <v>13</v>
      </c>
      <c r="E65" s="3">
        <v>44951</v>
      </c>
      <c r="F65" s="15">
        <v>90</v>
      </c>
      <c r="G65" s="18">
        <v>3.8</v>
      </c>
      <c r="H65" s="9">
        <f>IF(MONTH(Data!$E65)&lt;=6, YEAR(Data!$E65), YEAR(Data!$E65)+1)</f>
        <v>2023</v>
      </c>
      <c r="I65" s="9" t="str">
        <f>TEXT(Data!$E65,"DDDD")</f>
        <v>Wednesday</v>
      </c>
      <c r="J65" s="9" t="s">
        <v>14</v>
      </c>
      <c r="K65" s="23">
        <f>ROUND(Data!$G65,0)</f>
        <v>4</v>
      </c>
    </row>
    <row r="66" spans="1:11" ht="14.25" customHeight="1" x14ac:dyDescent="0.3">
      <c r="A66" s="9" t="s">
        <v>99</v>
      </c>
      <c r="B66" s="9" t="s">
        <v>68</v>
      </c>
      <c r="C66" s="2">
        <v>147</v>
      </c>
      <c r="D66" s="12" t="s">
        <v>31</v>
      </c>
      <c r="E66" s="3">
        <v>44951</v>
      </c>
      <c r="F66" s="15">
        <v>105</v>
      </c>
      <c r="G66" s="18">
        <v>4.4000000000000004</v>
      </c>
      <c r="H66" s="9">
        <f>IF(MONTH(Data!$E66)&lt;=6, YEAR(Data!$E66), YEAR(Data!$E66)+1)</f>
        <v>2023</v>
      </c>
      <c r="I66" s="9" t="str">
        <f>TEXT(Data!$E66,"DDDD")</f>
        <v>Wednesday</v>
      </c>
      <c r="J66" s="9" t="s">
        <v>25</v>
      </c>
      <c r="K66" s="23">
        <f>ROUND(Data!$G66,0)</f>
        <v>4</v>
      </c>
    </row>
    <row r="67" spans="1:11" ht="14.25" customHeight="1" x14ac:dyDescent="0.3">
      <c r="A67" s="9" t="s">
        <v>100</v>
      </c>
      <c r="B67" s="9" t="s">
        <v>16</v>
      </c>
      <c r="C67" s="2">
        <v>69</v>
      </c>
      <c r="D67" s="12" t="s">
        <v>19</v>
      </c>
      <c r="E67" s="3">
        <v>44952</v>
      </c>
      <c r="F67" s="15">
        <v>40</v>
      </c>
      <c r="G67" s="18">
        <v>3.8</v>
      </c>
      <c r="H67" s="9">
        <f>IF(MONTH(Data!$E67)&lt;=6, YEAR(Data!$E67), YEAR(Data!$E67)+1)</f>
        <v>2023</v>
      </c>
      <c r="I67" s="9" t="str">
        <f>TEXT(Data!$E67,"DDDD")</f>
        <v>Thursday</v>
      </c>
      <c r="J67" s="9" t="s">
        <v>14</v>
      </c>
      <c r="K67" s="23">
        <f>ROUND(Data!$G67,0)</f>
        <v>4</v>
      </c>
    </row>
    <row r="68" spans="1:11" ht="14.25" customHeight="1" x14ac:dyDescent="0.3">
      <c r="A68" s="9" t="s">
        <v>101</v>
      </c>
      <c r="B68" s="9" t="s">
        <v>55</v>
      </c>
      <c r="C68" s="2">
        <v>50</v>
      </c>
      <c r="D68" s="12" t="s">
        <v>13</v>
      </c>
      <c r="E68" s="3">
        <v>44952</v>
      </c>
      <c r="F68" s="15">
        <v>60</v>
      </c>
      <c r="G68" s="18">
        <v>2</v>
      </c>
      <c r="H68" s="9">
        <f>IF(MONTH(Data!$E68)&lt;=6, YEAR(Data!$E68), YEAR(Data!$E68)+1)</f>
        <v>2023</v>
      </c>
      <c r="I68" s="9" t="str">
        <f>TEXT(Data!$E68,"DDDD")</f>
        <v>Thursday</v>
      </c>
      <c r="J68" s="9" t="s">
        <v>27</v>
      </c>
      <c r="K68" s="23">
        <f>ROUND(Data!$G68,0)</f>
        <v>2</v>
      </c>
    </row>
    <row r="69" spans="1:11" ht="14.25" customHeight="1" x14ac:dyDescent="0.3">
      <c r="A69" s="9" t="s">
        <v>102</v>
      </c>
      <c r="B69" s="9" t="s">
        <v>34</v>
      </c>
      <c r="C69" s="2">
        <v>124</v>
      </c>
      <c r="D69" s="12" t="s">
        <v>31</v>
      </c>
      <c r="E69" s="3">
        <v>44953</v>
      </c>
      <c r="F69" s="15">
        <v>215</v>
      </c>
      <c r="G69" s="18">
        <v>4.0999999999999996</v>
      </c>
      <c r="H69" s="9">
        <f>IF(MONTH(Data!$E69)&lt;=6, YEAR(Data!$E69), YEAR(Data!$E69)+1)</f>
        <v>2023</v>
      </c>
      <c r="I69" s="9" t="str">
        <f>TEXT(Data!$E69,"DDDD")</f>
        <v>Friday</v>
      </c>
      <c r="J69" s="9" t="s">
        <v>25</v>
      </c>
      <c r="K69" s="23">
        <f>ROUND(Data!$G69,0)</f>
        <v>4</v>
      </c>
    </row>
    <row r="70" spans="1:11" ht="14.25" customHeight="1" x14ac:dyDescent="0.3">
      <c r="A70" s="9" t="s">
        <v>103</v>
      </c>
      <c r="B70" s="9" t="s">
        <v>18</v>
      </c>
      <c r="C70" s="2">
        <v>81</v>
      </c>
      <c r="D70" s="12" t="s">
        <v>24</v>
      </c>
      <c r="E70" s="3">
        <v>44953</v>
      </c>
      <c r="F70" s="15">
        <v>156</v>
      </c>
      <c r="G70" s="18">
        <v>2.6</v>
      </c>
      <c r="H70" s="9">
        <f>IF(MONTH(Data!$E70)&lt;=6, YEAR(Data!$E70), YEAR(Data!$E70)+1)</f>
        <v>2023</v>
      </c>
      <c r="I70" s="9" t="str">
        <f>TEXT(Data!$E70,"DDDD")</f>
        <v>Friday</v>
      </c>
      <c r="J70" s="9" t="s">
        <v>14</v>
      </c>
      <c r="K70" s="23">
        <f>ROUND(Data!$G70,0)</f>
        <v>3</v>
      </c>
    </row>
    <row r="71" spans="1:11" ht="14.25" customHeight="1" x14ac:dyDescent="0.3">
      <c r="A71" s="9" t="s">
        <v>104</v>
      </c>
      <c r="B71" s="9" t="s">
        <v>50</v>
      </c>
      <c r="C71" s="2">
        <v>141</v>
      </c>
      <c r="D71" s="12" t="s">
        <v>35</v>
      </c>
      <c r="E71" s="3">
        <v>44953</v>
      </c>
      <c r="F71" s="15">
        <v>54</v>
      </c>
      <c r="G71" s="18">
        <v>0</v>
      </c>
      <c r="H71" s="9">
        <f>IF(MONTH(Data!$E71)&lt;=6, YEAR(Data!$E71), YEAR(Data!$E71)+1)</f>
        <v>2023</v>
      </c>
      <c r="I71" s="9" t="str">
        <f>TEXT(Data!$E71,"DDDD")</f>
        <v>Friday</v>
      </c>
      <c r="J71" s="9" t="s">
        <v>25</v>
      </c>
      <c r="K71" s="23">
        <f>ROUND(Data!$G71,0)</f>
        <v>0</v>
      </c>
    </row>
    <row r="72" spans="1:11" ht="14.25" customHeight="1" x14ac:dyDescent="0.3">
      <c r="A72" s="9" t="s">
        <v>105</v>
      </c>
      <c r="B72" s="9" t="s">
        <v>50</v>
      </c>
      <c r="C72" s="2">
        <v>168</v>
      </c>
      <c r="D72" s="12" t="s">
        <v>35</v>
      </c>
      <c r="E72" s="3">
        <v>44954</v>
      </c>
      <c r="F72" s="15">
        <v>160</v>
      </c>
      <c r="G72" s="18">
        <v>3.9</v>
      </c>
      <c r="H72" s="9">
        <f>IF(MONTH(Data!$E72)&lt;=6, YEAR(Data!$E72), YEAR(Data!$E72)+1)</f>
        <v>2023</v>
      </c>
      <c r="I72" s="9" t="str">
        <f>TEXT(Data!$E72,"DDDD")</f>
        <v>Saturday</v>
      </c>
      <c r="J72" s="9" t="s">
        <v>25</v>
      </c>
      <c r="K72" s="23">
        <f>ROUND(Data!$G72,0)</f>
        <v>4</v>
      </c>
    </row>
    <row r="73" spans="1:11" ht="14.25" customHeight="1" x14ac:dyDescent="0.3">
      <c r="A73" s="9" t="s">
        <v>106</v>
      </c>
      <c r="B73" s="9" t="s">
        <v>68</v>
      </c>
      <c r="C73" s="2">
        <v>101</v>
      </c>
      <c r="D73" s="12" t="s">
        <v>24</v>
      </c>
      <c r="E73" s="3">
        <v>44954</v>
      </c>
      <c r="F73" s="15">
        <v>80</v>
      </c>
      <c r="G73" s="18">
        <v>4.8</v>
      </c>
      <c r="H73" s="9">
        <f>IF(MONTH(Data!$E73)&lt;=6, YEAR(Data!$E73), YEAR(Data!$E73)+1)</f>
        <v>2023</v>
      </c>
      <c r="I73" s="9" t="str">
        <f>TEXT(Data!$E73,"DDDD")</f>
        <v>Saturday</v>
      </c>
      <c r="J73" s="9" t="s">
        <v>14</v>
      </c>
      <c r="K73" s="23">
        <f>ROUND(Data!$G73,0)</f>
        <v>5</v>
      </c>
    </row>
    <row r="74" spans="1:11" ht="14.25" customHeight="1" x14ac:dyDescent="0.3">
      <c r="A74" s="9" t="s">
        <v>107</v>
      </c>
      <c r="B74" s="9" t="s">
        <v>38</v>
      </c>
      <c r="C74" s="2">
        <v>67</v>
      </c>
      <c r="D74" s="12" t="s">
        <v>24</v>
      </c>
      <c r="E74" s="3">
        <v>44954</v>
      </c>
      <c r="F74" s="15">
        <v>168</v>
      </c>
      <c r="G74" s="18">
        <v>2.6</v>
      </c>
      <c r="H74" s="9">
        <f>IF(MONTH(Data!$E74)&lt;=6, YEAR(Data!$E74), YEAR(Data!$E74)+1)</f>
        <v>2023</v>
      </c>
      <c r="I74" s="9" t="str">
        <f>TEXT(Data!$E74,"DDDD")</f>
        <v>Saturday</v>
      </c>
      <c r="J74" s="9" t="s">
        <v>14</v>
      </c>
      <c r="K74" s="23">
        <f>ROUND(Data!$G74,0)</f>
        <v>3</v>
      </c>
    </row>
    <row r="75" spans="1:11" ht="14.25" customHeight="1" x14ac:dyDescent="0.3">
      <c r="A75" s="9" t="s">
        <v>108</v>
      </c>
      <c r="B75" s="9" t="s">
        <v>88</v>
      </c>
      <c r="C75" s="2">
        <v>114</v>
      </c>
      <c r="D75" s="12" t="s">
        <v>35</v>
      </c>
      <c r="E75" s="3">
        <v>44956</v>
      </c>
      <c r="F75" s="15">
        <v>42</v>
      </c>
      <c r="G75" s="18">
        <v>2.6</v>
      </c>
      <c r="H75" s="9">
        <f>IF(MONTH(Data!$E75)&lt;=6, YEAR(Data!$E75), YEAR(Data!$E75)+1)</f>
        <v>2023</v>
      </c>
      <c r="I75" s="9" t="str">
        <f>TEXT(Data!$E75,"DDDD")</f>
        <v>Monday</v>
      </c>
      <c r="J75" s="9" t="s">
        <v>14</v>
      </c>
      <c r="K75" s="23">
        <f>ROUND(Data!$G75,0)</f>
        <v>3</v>
      </c>
    </row>
    <row r="76" spans="1:11" ht="14.25" customHeight="1" x14ac:dyDescent="0.3">
      <c r="A76" s="9" t="s">
        <v>109</v>
      </c>
      <c r="B76" s="9" t="s">
        <v>18</v>
      </c>
      <c r="C76" s="2">
        <v>42</v>
      </c>
      <c r="D76" s="12" t="s">
        <v>24</v>
      </c>
      <c r="E76" s="3">
        <v>44956</v>
      </c>
      <c r="F76" s="15">
        <v>205</v>
      </c>
      <c r="G76" s="18">
        <v>3.6</v>
      </c>
      <c r="H76" s="9">
        <f>IF(MONTH(Data!$E76)&lt;=6, YEAR(Data!$E76), YEAR(Data!$E76)+1)</f>
        <v>2023</v>
      </c>
      <c r="I76" s="9" t="str">
        <f>TEXT(Data!$E76,"DDDD")</f>
        <v>Monday</v>
      </c>
      <c r="J76" s="9" t="s">
        <v>27</v>
      </c>
      <c r="K76" s="23">
        <f>ROUND(Data!$G76,0)</f>
        <v>4</v>
      </c>
    </row>
    <row r="77" spans="1:11" ht="14.25" customHeight="1" x14ac:dyDescent="0.3">
      <c r="A77" s="9" t="s">
        <v>110</v>
      </c>
      <c r="B77" s="9" t="s">
        <v>23</v>
      </c>
      <c r="C77" s="2">
        <v>69</v>
      </c>
      <c r="D77" s="12" t="s">
        <v>35</v>
      </c>
      <c r="E77" s="3">
        <v>44956</v>
      </c>
      <c r="F77" s="15">
        <v>108</v>
      </c>
      <c r="G77" s="18">
        <v>3.3</v>
      </c>
      <c r="H77" s="9">
        <f>IF(MONTH(Data!$E77)&lt;=6, YEAR(Data!$E77), YEAR(Data!$E77)+1)</f>
        <v>2023</v>
      </c>
      <c r="I77" s="9" t="str">
        <f>TEXT(Data!$E77,"DDDD")</f>
        <v>Monday</v>
      </c>
      <c r="J77" s="9" t="s">
        <v>14</v>
      </c>
      <c r="K77" s="23">
        <f>ROUND(Data!$G77,0)</f>
        <v>3</v>
      </c>
    </row>
    <row r="78" spans="1:11" ht="14.25" customHeight="1" x14ac:dyDescent="0.3">
      <c r="A78" s="9" t="s">
        <v>111</v>
      </c>
      <c r="B78" s="9" t="s">
        <v>34</v>
      </c>
      <c r="C78" s="2">
        <v>145</v>
      </c>
      <c r="D78" s="12" t="s">
        <v>19</v>
      </c>
      <c r="E78" s="3">
        <v>44956</v>
      </c>
      <c r="F78" s="15">
        <v>78</v>
      </c>
      <c r="G78" s="18">
        <v>1.9</v>
      </c>
      <c r="H78" s="9">
        <f>IF(MONTH(Data!$E78)&lt;=6, YEAR(Data!$E78), YEAR(Data!$E78)+1)</f>
        <v>2023</v>
      </c>
      <c r="I78" s="9" t="str">
        <f>TEXT(Data!$E78,"DDDD")</f>
        <v>Monday</v>
      </c>
      <c r="J78" s="9" t="s">
        <v>25</v>
      </c>
      <c r="K78" s="23">
        <f>ROUND(Data!$G78,0)</f>
        <v>2</v>
      </c>
    </row>
    <row r="79" spans="1:11" ht="14.25" customHeight="1" x14ac:dyDescent="0.3">
      <c r="A79" s="9" t="s">
        <v>112</v>
      </c>
      <c r="B79" s="9" t="s">
        <v>16</v>
      </c>
      <c r="C79" s="2">
        <v>43</v>
      </c>
      <c r="D79" s="12" t="s">
        <v>35</v>
      </c>
      <c r="E79" s="3">
        <v>44956</v>
      </c>
      <c r="F79" s="15">
        <v>23</v>
      </c>
      <c r="G79" s="18">
        <v>4.9000000000000004</v>
      </c>
      <c r="H79" s="9">
        <f>IF(MONTH(Data!$E79)&lt;=6, YEAR(Data!$E79), YEAR(Data!$E79)+1)</f>
        <v>2023</v>
      </c>
      <c r="I79" s="9" t="str">
        <f>TEXT(Data!$E79,"DDDD")</f>
        <v>Monday</v>
      </c>
      <c r="J79" s="9" t="s">
        <v>27</v>
      </c>
      <c r="K79" s="23">
        <f>ROUND(Data!$G79,0)</f>
        <v>5</v>
      </c>
    </row>
    <row r="80" spans="1:11" ht="14.25" customHeight="1" x14ac:dyDescent="0.3">
      <c r="A80" s="9" t="s">
        <v>113</v>
      </c>
      <c r="B80" s="9" t="s">
        <v>23</v>
      </c>
      <c r="C80" s="2">
        <v>62</v>
      </c>
      <c r="D80" s="12" t="s">
        <v>13</v>
      </c>
      <c r="E80" s="3">
        <v>44957</v>
      </c>
      <c r="F80" s="15">
        <v>99</v>
      </c>
      <c r="G80" s="18">
        <v>3.6</v>
      </c>
      <c r="H80" s="9">
        <f>IF(MONTH(Data!$E80)&lt;=6, YEAR(Data!$E80), YEAR(Data!$E80)+1)</f>
        <v>2023</v>
      </c>
      <c r="I80" s="9" t="str">
        <f>TEXT(Data!$E80,"DDDD")</f>
        <v>Tuesday</v>
      </c>
      <c r="J80" s="9" t="s">
        <v>14</v>
      </c>
      <c r="K80" s="23">
        <f>ROUND(Data!$G80,0)</f>
        <v>4</v>
      </c>
    </row>
    <row r="81" spans="1:11" ht="14.25" customHeight="1" x14ac:dyDescent="0.3">
      <c r="A81" s="9" t="s">
        <v>114</v>
      </c>
      <c r="B81" s="9" t="s">
        <v>46</v>
      </c>
      <c r="C81" s="2">
        <v>79</v>
      </c>
      <c r="D81" s="12" t="s">
        <v>35</v>
      </c>
      <c r="E81" s="3">
        <v>44958</v>
      </c>
      <c r="F81" s="15">
        <v>148</v>
      </c>
      <c r="G81" s="18">
        <v>4.5</v>
      </c>
      <c r="H81" s="9">
        <f>IF(MONTH(Data!$E81)&lt;=6, YEAR(Data!$E81), YEAR(Data!$E81)+1)</f>
        <v>2023</v>
      </c>
      <c r="I81" s="9" t="str">
        <f>TEXT(Data!$E81,"DDDD")</f>
        <v>Wednesday</v>
      </c>
      <c r="J81" s="9" t="s">
        <v>14</v>
      </c>
      <c r="K81" s="23">
        <f>ROUND(Data!$G81,0)</f>
        <v>5</v>
      </c>
    </row>
    <row r="82" spans="1:11" ht="14.25" customHeight="1" x14ac:dyDescent="0.3">
      <c r="A82" s="9" t="s">
        <v>115</v>
      </c>
      <c r="B82" s="9" t="s">
        <v>34</v>
      </c>
      <c r="C82" s="2">
        <v>45</v>
      </c>
      <c r="D82" s="12" t="s">
        <v>31</v>
      </c>
      <c r="E82" s="3">
        <v>44958</v>
      </c>
      <c r="F82" s="15">
        <v>34</v>
      </c>
      <c r="G82" s="18">
        <v>3.7</v>
      </c>
      <c r="H82" s="9">
        <f>IF(MONTH(Data!$E82)&lt;=6, YEAR(Data!$E82), YEAR(Data!$E82)+1)</f>
        <v>2023</v>
      </c>
      <c r="I82" s="9" t="str">
        <f>TEXT(Data!$E82,"DDDD")</f>
        <v>Wednesday</v>
      </c>
      <c r="J82" s="9" t="s">
        <v>27</v>
      </c>
      <c r="K82" s="23">
        <f>ROUND(Data!$G82,0)</f>
        <v>4</v>
      </c>
    </row>
    <row r="83" spans="1:11" ht="14.25" customHeight="1" x14ac:dyDescent="0.3">
      <c r="A83" s="9" t="s">
        <v>116</v>
      </c>
      <c r="B83" s="9" t="s">
        <v>23</v>
      </c>
      <c r="C83" s="2">
        <v>137</v>
      </c>
      <c r="D83" s="12" t="s">
        <v>35</v>
      </c>
      <c r="E83" s="3">
        <v>44958</v>
      </c>
      <c r="F83" s="15">
        <v>86</v>
      </c>
      <c r="G83" s="18">
        <v>4.8</v>
      </c>
      <c r="H83" s="9">
        <f>IF(MONTH(Data!$E83)&lt;=6, YEAR(Data!$E83), YEAR(Data!$E83)+1)</f>
        <v>2023</v>
      </c>
      <c r="I83" s="9" t="str">
        <f>TEXT(Data!$E83,"DDDD")</f>
        <v>Wednesday</v>
      </c>
      <c r="J83" s="9" t="s">
        <v>25</v>
      </c>
      <c r="K83" s="23">
        <f>ROUND(Data!$G83,0)</f>
        <v>5</v>
      </c>
    </row>
    <row r="84" spans="1:11" ht="14.25" customHeight="1" x14ac:dyDescent="0.3">
      <c r="A84" s="9" t="s">
        <v>117</v>
      </c>
      <c r="B84" s="9" t="s">
        <v>88</v>
      </c>
      <c r="C84" s="2">
        <v>109</v>
      </c>
      <c r="D84" s="12" t="s">
        <v>13</v>
      </c>
      <c r="E84" s="3">
        <v>44958</v>
      </c>
      <c r="F84" s="15">
        <v>105</v>
      </c>
      <c r="G84" s="18">
        <v>3.3</v>
      </c>
      <c r="H84" s="9">
        <f>IF(MONTH(Data!$E84)&lt;=6, YEAR(Data!$E84), YEAR(Data!$E84)+1)</f>
        <v>2023</v>
      </c>
      <c r="I84" s="9" t="str">
        <f>TEXT(Data!$E84,"DDDD")</f>
        <v>Wednesday</v>
      </c>
      <c r="J84" s="9" t="s">
        <v>14</v>
      </c>
      <c r="K84" s="23">
        <f>ROUND(Data!$G84,0)</f>
        <v>3</v>
      </c>
    </row>
    <row r="85" spans="1:11" ht="14.25" customHeight="1" x14ac:dyDescent="0.3">
      <c r="A85" s="9" t="s">
        <v>118</v>
      </c>
      <c r="B85" s="9" t="s">
        <v>16</v>
      </c>
      <c r="C85" s="2">
        <v>78</v>
      </c>
      <c r="D85" s="12" t="s">
        <v>13</v>
      </c>
      <c r="E85" s="3">
        <v>44958</v>
      </c>
      <c r="F85" s="15">
        <v>62</v>
      </c>
      <c r="G85" s="18">
        <v>3.1</v>
      </c>
      <c r="H85" s="9">
        <f>IF(MONTH(Data!$E85)&lt;=6, YEAR(Data!$E85), YEAR(Data!$E85)+1)</f>
        <v>2023</v>
      </c>
      <c r="I85" s="9" t="str">
        <f>TEXT(Data!$E85,"DDDD")</f>
        <v>Wednesday</v>
      </c>
      <c r="J85" s="9" t="s">
        <v>14</v>
      </c>
      <c r="K85" s="23">
        <f>ROUND(Data!$G85,0)</f>
        <v>3</v>
      </c>
    </row>
    <row r="86" spans="1:11" ht="14.25" customHeight="1" x14ac:dyDescent="0.3">
      <c r="A86" s="9" t="s">
        <v>119</v>
      </c>
      <c r="B86" s="9" t="s">
        <v>23</v>
      </c>
      <c r="C86" s="2">
        <v>137</v>
      </c>
      <c r="D86" s="12" t="s">
        <v>31</v>
      </c>
      <c r="E86" s="3">
        <v>44958</v>
      </c>
      <c r="F86" s="15">
        <v>90</v>
      </c>
      <c r="G86" s="18">
        <v>4.0999999999999996</v>
      </c>
      <c r="H86" s="9">
        <f>IF(MONTH(Data!$E86)&lt;=6, YEAR(Data!$E86), YEAR(Data!$E86)+1)</f>
        <v>2023</v>
      </c>
      <c r="I86" s="9" t="str">
        <f>TEXT(Data!$E86,"DDDD")</f>
        <v>Wednesday</v>
      </c>
      <c r="J86" s="9" t="s">
        <v>25</v>
      </c>
      <c r="K86" s="23">
        <f>ROUND(Data!$G86,0)</f>
        <v>4</v>
      </c>
    </row>
    <row r="87" spans="1:11" ht="14.25" customHeight="1" x14ac:dyDescent="0.3">
      <c r="A87" s="9" t="s">
        <v>120</v>
      </c>
      <c r="B87" s="9" t="s">
        <v>21</v>
      </c>
      <c r="C87" s="2">
        <v>99</v>
      </c>
      <c r="D87" s="12" t="s">
        <v>13</v>
      </c>
      <c r="E87" s="3">
        <v>44959</v>
      </c>
      <c r="F87" s="15">
        <v>112</v>
      </c>
      <c r="G87" s="18">
        <v>4.9000000000000004</v>
      </c>
      <c r="H87" s="9">
        <f>IF(MONTH(Data!$E87)&lt;=6, YEAR(Data!$E87), YEAR(Data!$E87)+1)</f>
        <v>2023</v>
      </c>
      <c r="I87" s="9" t="str">
        <f>TEXT(Data!$E87,"DDDD")</f>
        <v>Thursday</v>
      </c>
      <c r="J87" s="9" t="s">
        <v>14</v>
      </c>
      <c r="K87" s="23">
        <f>ROUND(Data!$G87,0)</f>
        <v>5</v>
      </c>
    </row>
    <row r="88" spans="1:11" ht="14.25" customHeight="1" x14ac:dyDescent="0.3">
      <c r="A88" s="9" t="s">
        <v>121</v>
      </c>
      <c r="B88" s="9" t="s">
        <v>55</v>
      </c>
      <c r="C88" s="2">
        <v>100</v>
      </c>
      <c r="D88" s="12" t="s">
        <v>13</v>
      </c>
      <c r="E88" s="3">
        <v>44959</v>
      </c>
      <c r="F88" s="15">
        <v>135</v>
      </c>
      <c r="G88" s="18">
        <v>4</v>
      </c>
      <c r="H88" s="9">
        <f>IF(MONTH(Data!$E88)&lt;=6, YEAR(Data!$E88), YEAR(Data!$E88)+1)</f>
        <v>2023</v>
      </c>
      <c r="I88" s="9" t="str">
        <f>TEXT(Data!$E88,"DDDD")</f>
        <v>Thursday</v>
      </c>
      <c r="J88" s="9" t="s">
        <v>14</v>
      </c>
      <c r="K88" s="23">
        <f>ROUND(Data!$G88,0)</f>
        <v>4</v>
      </c>
    </row>
    <row r="89" spans="1:11" ht="14.25" customHeight="1" x14ac:dyDescent="0.3">
      <c r="A89" s="9" t="s">
        <v>122</v>
      </c>
      <c r="B89" s="9" t="s">
        <v>16</v>
      </c>
      <c r="C89" s="2">
        <v>47</v>
      </c>
      <c r="D89" s="12" t="s">
        <v>19</v>
      </c>
      <c r="E89" s="3">
        <v>44959</v>
      </c>
      <c r="F89" s="15">
        <v>34</v>
      </c>
      <c r="G89" s="18">
        <v>2.1</v>
      </c>
      <c r="H89" s="9">
        <f>IF(MONTH(Data!$E89)&lt;=6, YEAR(Data!$E89), YEAR(Data!$E89)+1)</f>
        <v>2023</v>
      </c>
      <c r="I89" s="9" t="str">
        <f>TEXT(Data!$E89,"DDDD")</f>
        <v>Thursday</v>
      </c>
      <c r="J89" s="9" t="s">
        <v>27</v>
      </c>
      <c r="K89" s="23">
        <f>ROUND(Data!$G89,0)</f>
        <v>2</v>
      </c>
    </row>
    <row r="90" spans="1:11" ht="14.25" customHeight="1" x14ac:dyDescent="0.3">
      <c r="A90" s="9" t="s">
        <v>123</v>
      </c>
      <c r="B90" s="9" t="s">
        <v>88</v>
      </c>
      <c r="C90" s="2">
        <v>87</v>
      </c>
      <c r="D90" s="12" t="s">
        <v>24</v>
      </c>
      <c r="E90" s="3">
        <v>44959</v>
      </c>
      <c r="F90" s="15">
        <v>155</v>
      </c>
      <c r="G90" s="18">
        <v>4.5</v>
      </c>
      <c r="H90" s="9">
        <f>IF(MONTH(Data!$E90)&lt;=6, YEAR(Data!$E90), YEAR(Data!$E90)+1)</f>
        <v>2023</v>
      </c>
      <c r="I90" s="9" t="str">
        <f>TEXT(Data!$E90,"DDDD")</f>
        <v>Thursday</v>
      </c>
      <c r="J90" s="9" t="s">
        <v>14</v>
      </c>
      <c r="K90" s="23">
        <f>ROUND(Data!$G90,0)</f>
        <v>5</v>
      </c>
    </row>
    <row r="91" spans="1:11" ht="14.25" customHeight="1" x14ac:dyDescent="0.3">
      <c r="A91" s="9" t="s">
        <v>124</v>
      </c>
      <c r="B91" s="9" t="s">
        <v>21</v>
      </c>
      <c r="C91" s="2">
        <v>143</v>
      </c>
      <c r="D91" s="12" t="s">
        <v>24</v>
      </c>
      <c r="E91" s="3">
        <v>44961</v>
      </c>
      <c r="F91" s="15">
        <v>124</v>
      </c>
      <c r="G91" s="18">
        <v>4.9000000000000004</v>
      </c>
      <c r="H91" s="9">
        <f>IF(MONTH(Data!$E91)&lt;=6, YEAR(Data!$E91), YEAR(Data!$E91)+1)</f>
        <v>2023</v>
      </c>
      <c r="I91" s="9" t="str">
        <f>TEXT(Data!$E91,"DDDD")</f>
        <v>Saturday</v>
      </c>
      <c r="J91" s="9" t="s">
        <v>25</v>
      </c>
      <c r="K91" s="23">
        <f>ROUND(Data!$G91,0)</f>
        <v>5</v>
      </c>
    </row>
    <row r="92" spans="1:11" ht="14.25" customHeight="1" x14ac:dyDescent="0.3">
      <c r="A92" s="9" t="s">
        <v>125</v>
      </c>
      <c r="B92" s="9" t="s">
        <v>55</v>
      </c>
      <c r="C92" s="2">
        <v>84</v>
      </c>
      <c r="D92" s="12" t="s">
        <v>13</v>
      </c>
      <c r="E92" s="3">
        <v>44961</v>
      </c>
      <c r="F92" s="15">
        <v>195</v>
      </c>
      <c r="G92" s="18">
        <v>4.0999999999999996</v>
      </c>
      <c r="H92" s="9">
        <f>IF(MONTH(Data!$E92)&lt;=6, YEAR(Data!$E92), YEAR(Data!$E92)+1)</f>
        <v>2023</v>
      </c>
      <c r="I92" s="9" t="str">
        <f>TEXT(Data!$E92,"DDDD")</f>
        <v>Saturday</v>
      </c>
      <c r="J92" s="9" t="s">
        <v>14</v>
      </c>
      <c r="K92" s="23">
        <f>ROUND(Data!$G92,0)</f>
        <v>4</v>
      </c>
    </row>
    <row r="93" spans="1:11" ht="14.25" customHeight="1" x14ac:dyDescent="0.3">
      <c r="A93" s="9" t="s">
        <v>126</v>
      </c>
      <c r="B93" s="9" t="s">
        <v>68</v>
      </c>
      <c r="C93" s="2">
        <v>55</v>
      </c>
      <c r="D93" s="12" t="s">
        <v>24</v>
      </c>
      <c r="E93" s="3">
        <v>44962</v>
      </c>
      <c r="F93" s="15">
        <v>78</v>
      </c>
      <c r="G93" s="18">
        <v>4.5</v>
      </c>
      <c r="H93" s="9">
        <f>IF(MONTH(Data!$E93)&lt;=6, YEAR(Data!$E93), YEAR(Data!$E93)+1)</f>
        <v>2023</v>
      </c>
      <c r="I93" s="9" t="str">
        <f>TEXT(Data!$E93,"DDDD")</f>
        <v>Sunday</v>
      </c>
      <c r="J93" s="9" t="s">
        <v>27</v>
      </c>
      <c r="K93" s="23">
        <f>ROUND(Data!$G93,0)</f>
        <v>5</v>
      </c>
    </row>
    <row r="94" spans="1:11" ht="14.25" customHeight="1" x14ac:dyDescent="0.3">
      <c r="A94" s="9" t="s">
        <v>127</v>
      </c>
      <c r="B94" s="9" t="s">
        <v>29</v>
      </c>
      <c r="C94" s="2">
        <v>135</v>
      </c>
      <c r="D94" s="12" t="s">
        <v>31</v>
      </c>
      <c r="E94" s="3">
        <v>44964</v>
      </c>
      <c r="F94" s="15">
        <v>35</v>
      </c>
      <c r="G94" s="18">
        <v>4.8</v>
      </c>
      <c r="H94" s="9">
        <f>IF(MONTH(Data!$E94)&lt;=6, YEAR(Data!$E94), YEAR(Data!$E94)+1)</f>
        <v>2023</v>
      </c>
      <c r="I94" s="9" t="str">
        <f>TEXT(Data!$E94,"DDDD")</f>
        <v>Tuesday</v>
      </c>
      <c r="J94" s="9" t="s">
        <v>25</v>
      </c>
      <c r="K94" s="23">
        <f>ROUND(Data!$G94,0)</f>
        <v>5</v>
      </c>
    </row>
    <row r="95" spans="1:11" ht="14.25" customHeight="1" x14ac:dyDescent="0.3">
      <c r="A95" s="9" t="s">
        <v>128</v>
      </c>
      <c r="B95" s="9" t="s">
        <v>58</v>
      </c>
      <c r="C95" s="2">
        <v>152</v>
      </c>
      <c r="D95" s="12" t="s">
        <v>19</v>
      </c>
      <c r="E95" s="3">
        <v>44964</v>
      </c>
      <c r="F95" s="15">
        <v>123</v>
      </c>
      <c r="G95" s="18">
        <v>4.5999999999999996</v>
      </c>
      <c r="H95" s="9">
        <f>IF(MONTH(Data!$E95)&lt;=6, YEAR(Data!$E95), YEAR(Data!$E95)+1)</f>
        <v>2023</v>
      </c>
      <c r="I95" s="9" t="str">
        <f>TEXT(Data!$E95,"DDDD")</f>
        <v>Tuesday</v>
      </c>
      <c r="J95" s="9" t="s">
        <v>25</v>
      </c>
      <c r="K95" s="23">
        <f>ROUND(Data!$G95,0)</f>
        <v>5</v>
      </c>
    </row>
    <row r="96" spans="1:11" ht="14.25" customHeight="1" x14ac:dyDescent="0.3">
      <c r="A96" s="9" t="s">
        <v>129</v>
      </c>
      <c r="B96" s="9" t="s">
        <v>18</v>
      </c>
      <c r="C96" s="2">
        <v>132</v>
      </c>
      <c r="D96" s="12" t="s">
        <v>19</v>
      </c>
      <c r="E96" s="3">
        <v>44964</v>
      </c>
      <c r="F96" s="15">
        <v>43</v>
      </c>
      <c r="G96" s="18">
        <v>4.5999999999999996</v>
      </c>
      <c r="H96" s="9">
        <f>IF(MONTH(Data!$E96)&lt;=6, YEAR(Data!$E96), YEAR(Data!$E96)+1)</f>
        <v>2023</v>
      </c>
      <c r="I96" s="9" t="str">
        <f>TEXT(Data!$E96,"DDDD")</f>
        <v>Tuesday</v>
      </c>
      <c r="J96" s="9" t="s">
        <v>25</v>
      </c>
      <c r="K96" s="23">
        <f>ROUND(Data!$G96,0)</f>
        <v>5</v>
      </c>
    </row>
    <row r="97" spans="1:11" ht="14.25" customHeight="1" x14ac:dyDescent="0.3">
      <c r="A97" s="9" t="s">
        <v>130</v>
      </c>
      <c r="B97" s="9" t="s">
        <v>50</v>
      </c>
      <c r="C97" s="2">
        <v>60</v>
      </c>
      <c r="D97" s="12" t="s">
        <v>13</v>
      </c>
      <c r="E97" s="3">
        <v>44965</v>
      </c>
      <c r="F97" s="15">
        <v>69</v>
      </c>
      <c r="G97" s="18">
        <v>4.3</v>
      </c>
      <c r="H97" s="9">
        <f>IF(MONTH(Data!$E97)&lt;=6, YEAR(Data!$E97), YEAR(Data!$E97)+1)</f>
        <v>2023</v>
      </c>
      <c r="I97" s="9" t="str">
        <f>TEXT(Data!$E97,"DDDD")</f>
        <v>Wednesday</v>
      </c>
      <c r="J97" s="9" t="s">
        <v>27</v>
      </c>
      <c r="K97" s="23">
        <f>ROUND(Data!$G97,0)</f>
        <v>4</v>
      </c>
    </row>
    <row r="98" spans="1:11" ht="14.25" customHeight="1" x14ac:dyDescent="0.3">
      <c r="A98" s="9" t="s">
        <v>131</v>
      </c>
      <c r="B98" s="9" t="s">
        <v>58</v>
      </c>
      <c r="C98" s="2">
        <v>95</v>
      </c>
      <c r="D98" s="12" t="s">
        <v>19</v>
      </c>
      <c r="E98" s="3">
        <v>44965</v>
      </c>
      <c r="F98" s="15">
        <v>130</v>
      </c>
      <c r="G98" s="18">
        <v>5</v>
      </c>
      <c r="H98" s="9">
        <f>IF(MONTH(Data!$E98)&lt;=6, YEAR(Data!$E98), YEAR(Data!$E98)+1)</f>
        <v>2023</v>
      </c>
      <c r="I98" s="9" t="str">
        <f>TEXT(Data!$E98,"DDDD")</f>
        <v>Wednesday</v>
      </c>
      <c r="J98" s="9" t="s">
        <v>14</v>
      </c>
      <c r="K98" s="23">
        <f>ROUND(Data!$G98,0)</f>
        <v>5</v>
      </c>
    </row>
    <row r="99" spans="1:11" ht="14.25" customHeight="1" x14ac:dyDescent="0.3">
      <c r="A99" s="9" t="s">
        <v>132</v>
      </c>
      <c r="B99" s="9" t="s">
        <v>12</v>
      </c>
      <c r="C99" s="2">
        <v>96</v>
      </c>
      <c r="D99" s="12" t="s">
        <v>35</v>
      </c>
      <c r="E99" s="3">
        <v>44965</v>
      </c>
      <c r="F99" s="15">
        <v>120</v>
      </c>
      <c r="G99" s="18">
        <v>4</v>
      </c>
      <c r="H99" s="9">
        <f>IF(MONTH(Data!$E99)&lt;=6, YEAR(Data!$E99), YEAR(Data!$E99)+1)</f>
        <v>2023</v>
      </c>
      <c r="I99" s="9" t="str">
        <f>TEXT(Data!$E99,"DDDD")</f>
        <v>Wednesday</v>
      </c>
      <c r="J99" s="9" t="s">
        <v>14</v>
      </c>
      <c r="K99" s="23">
        <f>ROUND(Data!$G99,0)</f>
        <v>4</v>
      </c>
    </row>
    <row r="100" spans="1:11" ht="14.25" customHeight="1" x14ac:dyDescent="0.3">
      <c r="A100" s="9" t="s">
        <v>133</v>
      </c>
      <c r="B100" s="9" t="s">
        <v>68</v>
      </c>
      <c r="C100" s="2">
        <v>45</v>
      </c>
      <c r="D100" s="12" t="s">
        <v>13</v>
      </c>
      <c r="E100" s="3">
        <v>44966</v>
      </c>
      <c r="F100" s="15">
        <v>84</v>
      </c>
      <c r="G100" s="18">
        <v>4.5999999999999996</v>
      </c>
      <c r="H100" s="9">
        <f>IF(MONTH(Data!$E100)&lt;=6, YEAR(Data!$E100), YEAR(Data!$E100)+1)</f>
        <v>2023</v>
      </c>
      <c r="I100" s="9" t="str">
        <f>TEXT(Data!$E100,"DDDD")</f>
        <v>Thursday</v>
      </c>
      <c r="J100" s="9" t="s">
        <v>27</v>
      </c>
      <c r="K100" s="23">
        <f>ROUND(Data!$G100,0)</f>
        <v>5</v>
      </c>
    </row>
    <row r="101" spans="1:11" ht="14.25" customHeight="1" x14ac:dyDescent="0.3">
      <c r="A101" s="9" t="s">
        <v>134</v>
      </c>
      <c r="B101" s="9" t="s">
        <v>12</v>
      </c>
      <c r="C101" s="2">
        <v>132</v>
      </c>
      <c r="D101" s="12" t="s">
        <v>35</v>
      </c>
      <c r="E101" s="3">
        <v>44967</v>
      </c>
      <c r="F101" s="15">
        <v>112</v>
      </c>
      <c r="G101" s="18">
        <v>4.5</v>
      </c>
      <c r="H101" s="9">
        <f>IF(MONTH(Data!$E101)&lt;=6, YEAR(Data!$E101), YEAR(Data!$E101)+1)</f>
        <v>2023</v>
      </c>
      <c r="I101" s="9" t="str">
        <f>TEXT(Data!$E101,"DDDD")</f>
        <v>Friday</v>
      </c>
      <c r="J101" s="9" t="s">
        <v>25</v>
      </c>
      <c r="K101" s="23">
        <f>ROUND(Data!$G101,0)</f>
        <v>5</v>
      </c>
    </row>
    <row r="102" spans="1:11" ht="14.25" customHeight="1" x14ac:dyDescent="0.3">
      <c r="A102" s="9" t="s">
        <v>135</v>
      </c>
      <c r="B102" s="9" t="s">
        <v>38</v>
      </c>
      <c r="C102" s="2">
        <v>95</v>
      </c>
      <c r="D102" s="12" t="s">
        <v>13</v>
      </c>
      <c r="E102" s="3">
        <v>44967</v>
      </c>
      <c r="F102" s="15">
        <v>66</v>
      </c>
      <c r="G102" s="18">
        <v>4.5999999999999996</v>
      </c>
      <c r="H102" s="9">
        <f>IF(MONTH(Data!$E102)&lt;=6, YEAR(Data!$E102), YEAR(Data!$E102)+1)</f>
        <v>2023</v>
      </c>
      <c r="I102" s="9" t="str">
        <f>TEXT(Data!$E102,"DDDD")</f>
        <v>Friday</v>
      </c>
      <c r="J102" s="9" t="s">
        <v>14</v>
      </c>
      <c r="K102" s="23">
        <f>ROUND(Data!$G102,0)</f>
        <v>5</v>
      </c>
    </row>
    <row r="103" spans="1:11" ht="14.25" customHeight="1" x14ac:dyDescent="0.3">
      <c r="A103" s="9" t="s">
        <v>136</v>
      </c>
      <c r="B103" s="9" t="s">
        <v>58</v>
      </c>
      <c r="C103" s="2">
        <v>131</v>
      </c>
      <c r="D103" s="12" t="s">
        <v>24</v>
      </c>
      <c r="E103" s="3">
        <v>44967</v>
      </c>
      <c r="F103" s="15">
        <v>172</v>
      </c>
      <c r="G103" s="18">
        <v>2.6</v>
      </c>
      <c r="H103" s="9">
        <f>IF(MONTH(Data!$E103)&lt;=6, YEAR(Data!$E103), YEAR(Data!$E103)+1)</f>
        <v>2023</v>
      </c>
      <c r="I103" s="9" t="str">
        <f>TEXT(Data!$E103,"DDDD")</f>
        <v>Friday</v>
      </c>
      <c r="J103" s="9" t="s">
        <v>25</v>
      </c>
      <c r="K103" s="23">
        <f>ROUND(Data!$G103,0)</f>
        <v>3</v>
      </c>
    </row>
    <row r="104" spans="1:11" ht="14.25" customHeight="1" x14ac:dyDescent="0.3">
      <c r="A104" s="9" t="s">
        <v>137</v>
      </c>
      <c r="B104" s="9" t="s">
        <v>46</v>
      </c>
      <c r="C104" s="2">
        <v>67</v>
      </c>
      <c r="D104" s="12" t="s">
        <v>31</v>
      </c>
      <c r="E104" s="3">
        <v>44968</v>
      </c>
      <c r="F104" s="15">
        <v>24</v>
      </c>
      <c r="G104" s="18">
        <v>4.3</v>
      </c>
      <c r="H104" s="9">
        <f>IF(MONTH(Data!$E104)&lt;=6, YEAR(Data!$E104), YEAR(Data!$E104)+1)</f>
        <v>2023</v>
      </c>
      <c r="I104" s="9" t="str">
        <f>TEXT(Data!$E104,"DDDD")</f>
        <v>Saturday</v>
      </c>
      <c r="J104" s="9" t="s">
        <v>14</v>
      </c>
      <c r="K104" s="23">
        <f>ROUND(Data!$G104,0)</f>
        <v>4</v>
      </c>
    </row>
    <row r="105" spans="1:11" ht="14.25" customHeight="1" x14ac:dyDescent="0.3">
      <c r="A105" s="9" t="s">
        <v>138</v>
      </c>
      <c r="B105" s="9" t="s">
        <v>21</v>
      </c>
      <c r="C105" s="2">
        <v>111</v>
      </c>
      <c r="D105" s="12" t="s">
        <v>24</v>
      </c>
      <c r="E105" s="3">
        <v>44969</v>
      </c>
      <c r="F105" s="15">
        <v>43</v>
      </c>
      <c r="G105" s="18">
        <v>3.9</v>
      </c>
      <c r="H105" s="9">
        <f>IF(MONTH(Data!$E105)&lt;=6, YEAR(Data!$E105), YEAR(Data!$E105)+1)</f>
        <v>2023</v>
      </c>
      <c r="I105" s="9" t="str">
        <f>TEXT(Data!$E105,"DDDD")</f>
        <v>Sunday</v>
      </c>
      <c r="J105" s="9" t="s">
        <v>14</v>
      </c>
      <c r="K105" s="23">
        <f>ROUND(Data!$G105,0)</f>
        <v>4</v>
      </c>
    </row>
    <row r="106" spans="1:11" ht="14.25" customHeight="1" x14ac:dyDescent="0.3">
      <c r="A106" s="9" t="s">
        <v>139</v>
      </c>
      <c r="B106" s="9" t="s">
        <v>18</v>
      </c>
      <c r="C106" s="2">
        <v>78</v>
      </c>
      <c r="D106" s="12" t="s">
        <v>19</v>
      </c>
      <c r="E106" s="3">
        <v>44969</v>
      </c>
      <c r="F106" s="15">
        <v>23</v>
      </c>
      <c r="G106" s="18">
        <v>5</v>
      </c>
      <c r="H106" s="9">
        <f>IF(MONTH(Data!$E106)&lt;=6, YEAR(Data!$E106), YEAR(Data!$E106)+1)</f>
        <v>2023</v>
      </c>
      <c r="I106" s="9" t="str">
        <f>TEXT(Data!$E106,"DDDD")</f>
        <v>Sunday</v>
      </c>
      <c r="J106" s="9" t="s">
        <v>14</v>
      </c>
      <c r="K106" s="23">
        <f>ROUND(Data!$G106,0)</f>
        <v>5</v>
      </c>
    </row>
    <row r="107" spans="1:11" ht="14.25" customHeight="1" x14ac:dyDescent="0.3">
      <c r="A107" s="9" t="s">
        <v>140</v>
      </c>
      <c r="B107" s="9" t="s">
        <v>40</v>
      </c>
      <c r="C107" s="2">
        <v>28</v>
      </c>
      <c r="D107" s="12" t="s">
        <v>35</v>
      </c>
      <c r="E107" s="3">
        <v>44969</v>
      </c>
      <c r="F107" s="15">
        <v>74</v>
      </c>
      <c r="G107" s="18">
        <v>3.5</v>
      </c>
      <c r="H107" s="9">
        <f>IF(MONTH(Data!$E107)&lt;=6, YEAR(Data!$E107), YEAR(Data!$E107)+1)</f>
        <v>2023</v>
      </c>
      <c r="I107" s="9" t="str">
        <f>TEXT(Data!$E107,"DDDD")</f>
        <v>Sunday</v>
      </c>
      <c r="J107" s="9" t="s">
        <v>47</v>
      </c>
      <c r="K107" s="23">
        <f>ROUND(Data!$G107,0)</f>
        <v>4</v>
      </c>
    </row>
    <row r="108" spans="1:11" ht="14.25" customHeight="1" x14ac:dyDescent="0.3">
      <c r="A108" s="9" t="s">
        <v>141</v>
      </c>
      <c r="B108" s="9" t="s">
        <v>16</v>
      </c>
      <c r="C108" s="2">
        <v>127</v>
      </c>
      <c r="D108" s="12" t="s">
        <v>31</v>
      </c>
      <c r="E108" s="3">
        <v>44970</v>
      </c>
      <c r="F108" s="15">
        <v>165</v>
      </c>
      <c r="G108" s="18">
        <v>4.7</v>
      </c>
      <c r="H108" s="9">
        <f>IF(MONTH(Data!$E108)&lt;=6, YEAR(Data!$E108), YEAR(Data!$E108)+1)</f>
        <v>2023</v>
      </c>
      <c r="I108" s="9" t="str">
        <f>TEXT(Data!$E108,"DDDD")</f>
        <v>Monday</v>
      </c>
      <c r="J108" s="9" t="s">
        <v>25</v>
      </c>
      <c r="K108" s="23">
        <f>ROUND(Data!$G108,0)</f>
        <v>5</v>
      </c>
    </row>
    <row r="109" spans="1:11" ht="14.25" customHeight="1" x14ac:dyDescent="0.3">
      <c r="A109" s="9" t="s">
        <v>142</v>
      </c>
      <c r="B109" s="9" t="s">
        <v>55</v>
      </c>
      <c r="C109" s="2">
        <v>137</v>
      </c>
      <c r="D109" s="12" t="s">
        <v>24</v>
      </c>
      <c r="E109" s="3">
        <v>44970</v>
      </c>
      <c r="F109" s="15">
        <v>34</v>
      </c>
      <c r="G109" s="18">
        <v>2.9</v>
      </c>
      <c r="H109" s="9">
        <f>IF(MONTH(Data!$E109)&lt;=6, YEAR(Data!$E109), YEAR(Data!$E109)+1)</f>
        <v>2023</v>
      </c>
      <c r="I109" s="9" t="str">
        <f>TEXT(Data!$E109,"DDDD")</f>
        <v>Monday</v>
      </c>
      <c r="J109" s="9" t="s">
        <v>25</v>
      </c>
      <c r="K109" s="23">
        <f>ROUND(Data!$G109,0)</f>
        <v>3</v>
      </c>
    </row>
    <row r="110" spans="1:11" ht="14.25" customHeight="1" x14ac:dyDescent="0.3">
      <c r="A110" s="9" t="s">
        <v>143</v>
      </c>
      <c r="B110" s="9" t="s">
        <v>16</v>
      </c>
      <c r="C110" s="2">
        <v>76</v>
      </c>
      <c r="D110" s="12" t="s">
        <v>35</v>
      </c>
      <c r="E110" s="3">
        <v>44970</v>
      </c>
      <c r="F110" s="15">
        <v>64</v>
      </c>
      <c r="G110" s="18">
        <v>3.4</v>
      </c>
      <c r="H110" s="9">
        <f>IF(MONTH(Data!$E110)&lt;=6, YEAR(Data!$E110), YEAR(Data!$E110)+1)</f>
        <v>2023</v>
      </c>
      <c r="I110" s="9" t="str">
        <f>TEXT(Data!$E110,"DDDD")</f>
        <v>Monday</v>
      </c>
      <c r="J110" s="9" t="s">
        <v>14</v>
      </c>
      <c r="K110" s="23">
        <f>ROUND(Data!$G110,0)</f>
        <v>3</v>
      </c>
    </row>
    <row r="111" spans="1:11" ht="14.25" customHeight="1" x14ac:dyDescent="0.3">
      <c r="A111" s="9" t="s">
        <v>144</v>
      </c>
      <c r="B111" s="9" t="s">
        <v>18</v>
      </c>
      <c r="C111" s="2">
        <v>80</v>
      </c>
      <c r="D111" s="12" t="s">
        <v>31</v>
      </c>
      <c r="E111" s="3">
        <v>44971</v>
      </c>
      <c r="F111" s="15">
        <v>155</v>
      </c>
      <c r="G111" s="18">
        <v>3.2</v>
      </c>
      <c r="H111" s="9">
        <f>IF(MONTH(Data!$E111)&lt;=6, YEAR(Data!$E111), YEAR(Data!$E111)+1)</f>
        <v>2023</v>
      </c>
      <c r="I111" s="9" t="str">
        <f>TEXT(Data!$E111,"DDDD")</f>
        <v>Tuesday</v>
      </c>
      <c r="J111" s="9" t="s">
        <v>14</v>
      </c>
      <c r="K111" s="23">
        <f>ROUND(Data!$G111,0)</f>
        <v>3</v>
      </c>
    </row>
    <row r="112" spans="1:11" ht="14.25" customHeight="1" x14ac:dyDescent="0.3">
      <c r="A112" s="9" t="s">
        <v>145</v>
      </c>
      <c r="B112" s="9" t="s">
        <v>16</v>
      </c>
      <c r="C112" s="2">
        <v>95</v>
      </c>
      <c r="D112" s="12" t="s">
        <v>19</v>
      </c>
      <c r="E112" s="3">
        <v>44972</v>
      </c>
      <c r="F112" s="15">
        <v>120</v>
      </c>
      <c r="G112" s="18">
        <v>4.8</v>
      </c>
      <c r="H112" s="9">
        <f>IF(MONTH(Data!$E112)&lt;=6, YEAR(Data!$E112), YEAR(Data!$E112)+1)</f>
        <v>2023</v>
      </c>
      <c r="I112" s="9" t="str">
        <f>TEXT(Data!$E112,"DDDD")</f>
        <v>Wednesday</v>
      </c>
      <c r="J112" s="9" t="s">
        <v>14</v>
      </c>
      <c r="K112" s="23">
        <f>ROUND(Data!$G112,0)</f>
        <v>5</v>
      </c>
    </row>
    <row r="113" spans="1:11" ht="14.25" customHeight="1" x14ac:dyDescent="0.3">
      <c r="A113" s="9" t="s">
        <v>146</v>
      </c>
      <c r="B113" s="9" t="s">
        <v>50</v>
      </c>
      <c r="C113" s="2">
        <v>30</v>
      </c>
      <c r="D113" s="12" t="s">
        <v>35</v>
      </c>
      <c r="E113" s="3">
        <v>44972</v>
      </c>
      <c r="F113" s="15">
        <v>105</v>
      </c>
      <c r="G113" s="18">
        <v>3.6</v>
      </c>
      <c r="H113" s="9">
        <f>IF(MONTH(Data!$E113)&lt;=6, YEAR(Data!$E113), YEAR(Data!$E113)+1)</f>
        <v>2023</v>
      </c>
      <c r="I113" s="9" t="str">
        <f>TEXT(Data!$E113,"DDDD")</f>
        <v>Wednesday</v>
      </c>
      <c r="J113" s="9" t="s">
        <v>47</v>
      </c>
      <c r="K113" s="23">
        <f>ROUND(Data!$G113,0)</f>
        <v>4</v>
      </c>
    </row>
    <row r="114" spans="1:11" ht="14.25" customHeight="1" x14ac:dyDescent="0.3">
      <c r="A114" s="9" t="s">
        <v>147</v>
      </c>
      <c r="B114" s="9" t="s">
        <v>23</v>
      </c>
      <c r="C114" s="2">
        <v>19</v>
      </c>
      <c r="D114" s="12" t="s">
        <v>24</v>
      </c>
      <c r="E114" s="3">
        <v>44972</v>
      </c>
      <c r="F114" s="15">
        <v>28</v>
      </c>
      <c r="G114" s="18">
        <v>4.9000000000000004</v>
      </c>
      <c r="H114" s="9">
        <f>IF(MONTH(Data!$E114)&lt;=6, YEAR(Data!$E114), YEAR(Data!$E114)+1)</f>
        <v>2023</v>
      </c>
      <c r="I114" s="9" t="str">
        <f>TEXT(Data!$E114,"DDDD")</f>
        <v>Wednesday</v>
      </c>
      <c r="J114" s="9" t="s">
        <v>47</v>
      </c>
      <c r="K114" s="23">
        <f>ROUND(Data!$G114,0)</f>
        <v>5</v>
      </c>
    </row>
    <row r="115" spans="1:11" ht="14.25" customHeight="1" x14ac:dyDescent="0.3">
      <c r="A115" s="9" t="s">
        <v>148</v>
      </c>
      <c r="B115" s="9" t="s">
        <v>34</v>
      </c>
      <c r="C115" s="2">
        <v>38</v>
      </c>
      <c r="D115" s="12" t="s">
        <v>31</v>
      </c>
      <c r="E115" s="3">
        <v>44972</v>
      </c>
      <c r="F115" s="15">
        <v>100</v>
      </c>
      <c r="G115" s="18">
        <v>4.8</v>
      </c>
      <c r="H115" s="9">
        <f>IF(MONTH(Data!$E115)&lt;=6, YEAR(Data!$E115), YEAR(Data!$E115)+1)</f>
        <v>2023</v>
      </c>
      <c r="I115" s="9" t="str">
        <f>TEXT(Data!$E115,"DDDD")</f>
        <v>Wednesday</v>
      </c>
      <c r="J115" s="9" t="s">
        <v>27</v>
      </c>
      <c r="K115" s="23">
        <f>ROUND(Data!$G115,0)</f>
        <v>5</v>
      </c>
    </row>
    <row r="116" spans="1:11" ht="14.25" customHeight="1" x14ac:dyDescent="0.3">
      <c r="A116" s="9" t="s">
        <v>149</v>
      </c>
      <c r="B116" s="9" t="s">
        <v>38</v>
      </c>
      <c r="C116" s="2">
        <v>55</v>
      </c>
      <c r="D116" s="12" t="s">
        <v>24</v>
      </c>
      <c r="E116" s="3">
        <v>44972</v>
      </c>
      <c r="F116" s="15">
        <v>23</v>
      </c>
      <c r="G116" s="18">
        <v>3.6</v>
      </c>
      <c r="H116" s="9">
        <f>IF(MONTH(Data!$E116)&lt;=6, YEAR(Data!$E116), YEAR(Data!$E116)+1)</f>
        <v>2023</v>
      </c>
      <c r="I116" s="9" t="str">
        <f>TEXT(Data!$E116,"DDDD")</f>
        <v>Wednesday</v>
      </c>
      <c r="J116" s="9" t="s">
        <v>27</v>
      </c>
      <c r="K116" s="23">
        <f>ROUND(Data!$G116,0)</f>
        <v>4</v>
      </c>
    </row>
    <row r="117" spans="1:11" ht="14.25" customHeight="1" x14ac:dyDescent="0.3">
      <c r="A117" s="9" t="s">
        <v>150</v>
      </c>
      <c r="B117" s="9" t="s">
        <v>46</v>
      </c>
      <c r="C117" s="2">
        <v>27</v>
      </c>
      <c r="D117" s="12" t="s">
        <v>35</v>
      </c>
      <c r="E117" s="3">
        <v>44973</v>
      </c>
      <c r="F117" s="15">
        <v>70</v>
      </c>
      <c r="G117" s="18">
        <v>3.9</v>
      </c>
      <c r="H117" s="9">
        <f>IF(MONTH(Data!$E117)&lt;=6, YEAR(Data!$E117), YEAR(Data!$E117)+1)</f>
        <v>2023</v>
      </c>
      <c r="I117" s="9" t="str">
        <f>TEXT(Data!$E117,"DDDD")</f>
        <v>Thursday</v>
      </c>
      <c r="J117" s="9" t="s">
        <v>47</v>
      </c>
      <c r="K117" s="23">
        <f>ROUND(Data!$G117,0)</f>
        <v>4</v>
      </c>
    </row>
    <row r="118" spans="1:11" ht="14.25" customHeight="1" x14ac:dyDescent="0.3">
      <c r="A118" s="9" t="s">
        <v>151</v>
      </c>
      <c r="B118" s="9" t="s">
        <v>46</v>
      </c>
      <c r="C118" s="2">
        <v>32</v>
      </c>
      <c r="D118" s="12" t="s">
        <v>35</v>
      </c>
      <c r="E118" s="3">
        <v>44973</v>
      </c>
      <c r="F118" s="15">
        <v>37</v>
      </c>
      <c r="G118" s="18">
        <v>1.9</v>
      </c>
      <c r="H118" s="9">
        <f>IF(MONTH(Data!$E118)&lt;=6, YEAR(Data!$E118), YEAR(Data!$E118)+1)</f>
        <v>2023</v>
      </c>
      <c r="I118" s="9" t="str">
        <f>TEXT(Data!$E118,"DDDD")</f>
        <v>Thursday</v>
      </c>
      <c r="J118" s="9" t="s">
        <v>27</v>
      </c>
      <c r="K118" s="23">
        <f>ROUND(Data!$G118,0)</f>
        <v>2</v>
      </c>
    </row>
    <row r="119" spans="1:11" ht="14.25" customHeight="1" x14ac:dyDescent="0.3">
      <c r="A119" s="9" t="s">
        <v>152</v>
      </c>
      <c r="B119" s="9" t="s">
        <v>40</v>
      </c>
      <c r="C119" s="2">
        <v>116</v>
      </c>
      <c r="D119" s="12" t="s">
        <v>13</v>
      </c>
      <c r="E119" s="3">
        <v>44973</v>
      </c>
      <c r="F119" s="15">
        <v>140</v>
      </c>
      <c r="G119" s="18">
        <v>3.6</v>
      </c>
      <c r="H119" s="9">
        <f>IF(MONTH(Data!$E119)&lt;=6, YEAR(Data!$E119), YEAR(Data!$E119)+1)</f>
        <v>2023</v>
      </c>
      <c r="I119" s="9" t="str">
        <f>TEXT(Data!$E119,"DDDD")</f>
        <v>Thursday</v>
      </c>
      <c r="J119" s="9" t="s">
        <v>14</v>
      </c>
      <c r="K119" s="23">
        <f>ROUND(Data!$G119,0)</f>
        <v>4</v>
      </c>
    </row>
    <row r="120" spans="1:11" ht="14.25" customHeight="1" x14ac:dyDescent="0.3">
      <c r="A120" s="9" t="s">
        <v>153</v>
      </c>
      <c r="B120" s="9" t="s">
        <v>12</v>
      </c>
      <c r="C120" s="2">
        <v>99</v>
      </c>
      <c r="D120" s="12" t="s">
        <v>19</v>
      </c>
      <c r="E120" s="3">
        <v>44973</v>
      </c>
      <c r="F120" s="15">
        <v>78</v>
      </c>
      <c r="G120" s="18">
        <v>4.0999999999999996</v>
      </c>
      <c r="H120" s="9">
        <f>IF(MONTH(Data!$E120)&lt;=6, YEAR(Data!$E120), YEAR(Data!$E120)+1)</f>
        <v>2023</v>
      </c>
      <c r="I120" s="9" t="str">
        <f>TEXT(Data!$E120,"DDDD")</f>
        <v>Thursday</v>
      </c>
      <c r="J120" s="9" t="s">
        <v>14</v>
      </c>
      <c r="K120" s="23">
        <f>ROUND(Data!$G120,0)</f>
        <v>4</v>
      </c>
    </row>
    <row r="121" spans="1:11" ht="14.25" customHeight="1" x14ac:dyDescent="0.3">
      <c r="A121" s="9" t="s">
        <v>154</v>
      </c>
      <c r="B121" s="9" t="s">
        <v>16</v>
      </c>
      <c r="C121" s="2">
        <v>75</v>
      </c>
      <c r="D121" s="12" t="s">
        <v>35</v>
      </c>
      <c r="E121" s="3">
        <v>44974</v>
      </c>
      <c r="F121" s="15">
        <v>21</v>
      </c>
      <c r="G121" s="18">
        <v>4.2</v>
      </c>
      <c r="H121" s="9">
        <f>IF(MONTH(Data!$E121)&lt;=6, YEAR(Data!$E121), YEAR(Data!$E121)+1)</f>
        <v>2023</v>
      </c>
      <c r="I121" s="9" t="str">
        <f>TEXT(Data!$E121,"DDDD")</f>
        <v>Friday</v>
      </c>
      <c r="J121" s="9" t="s">
        <v>14</v>
      </c>
      <c r="K121" s="23">
        <f>ROUND(Data!$G121,0)</f>
        <v>4</v>
      </c>
    </row>
    <row r="122" spans="1:11" ht="14.25" customHeight="1" x14ac:dyDescent="0.3">
      <c r="A122" s="9" t="s">
        <v>155</v>
      </c>
      <c r="B122" s="9" t="s">
        <v>18</v>
      </c>
      <c r="C122" s="2">
        <v>57</v>
      </c>
      <c r="D122" s="12" t="s">
        <v>13</v>
      </c>
      <c r="E122" s="3">
        <v>44974</v>
      </c>
      <c r="F122" s="15">
        <v>88</v>
      </c>
      <c r="G122" s="18">
        <v>4.3</v>
      </c>
      <c r="H122" s="9">
        <f>IF(MONTH(Data!$E122)&lt;=6, YEAR(Data!$E122), YEAR(Data!$E122)+1)</f>
        <v>2023</v>
      </c>
      <c r="I122" s="9" t="str">
        <f>TEXT(Data!$E122,"DDDD")</f>
        <v>Friday</v>
      </c>
      <c r="J122" s="9" t="s">
        <v>27</v>
      </c>
      <c r="K122" s="23">
        <f>ROUND(Data!$G122,0)</f>
        <v>4</v>
      </c>
    </row>
    <row r="123" spans="1:11" ht="14.25" customHeight="1" x14ac:dyDescent="0.3">
      <c r="A123" s="9" t="s">
        <v>156</v>
      </c>
      <c r="B123" s="9" t="s">
        <v>29</v>
      </c>
      <c r="C123" s="2">
        <v>155</v>
      </c>
      <c r="D123" s="12" t="s">
        <v>13</v>
      </c>
      <c r="E123" s="3">
        <v>44975</v>
      </c>
      <c r="F123" s="15">
        <v>180</v>
      </c>
      <c r="G123" s="18">
        <v>2.2000000000000002</v>
      </c>
      <c r="H123" s="9">
        <f>IF(MONTH(Data!$E123)&lt;=6, YEAR(Data!$E123), YEAR(Data!$E123)+1)</f>
        <v>2023</v>
      </c>
      <c r="I123" s="9" t="str">
        <f>TEXT(Data!$E123,"DDDD")</f>
        <v>Saturday</v>
      </c>
      <c r="J123" s="9" t="s">
        <v>25</v>
      </c>
      <c r="K123" s="23">
        <f>ROUND(Data!$G123,0)</f>
        <v>2</v>
      </c>
    </row>
    <row r="124" spans="1:11" ht="14.25" customHeight="1" x14ac:dyDescent="0.3">
      <c r="A124" s="9" t="s">
        <v>157</v>
      </c>
      <c r="B124" s="9" t="s">
        <v>12</v>
      </c>
      <c r="C124" s="2">
        <v>68</v>
      </c>
      <c r="D124" s="12" t="s">
        <v>19</v>
      </c>
      <c r="E124" s="3">
        <v>44975</v>
      </c>
      <c r="F124" s="15">
        <v>22</v>
      </c>
      <c r="G124" s="18">
        <v>3.3</v>
      </c>
      <c r="H124" s="9">
        <f>IF(MONTH(Data!$E124)&lt;=6, YEAR(Data!$E124), YEAR(Data!$E124)+1)</f>
        <v>2023</v>
      </c>
      <c r="I124" s="9" t="str">
        <f>TEXT(Data!$E124,"DDDD")</f>
        <v>Saturday</v>
      </c>
      <c r="J124" s="9" t="s">
        <v>14</v>
      </c>
      <c r="K124" s="23">
        <f>ROUND(Data!$G124,0)</f>
        <v>3</v>
      </c>
    </row>
    <row r="125" spans="1:11" ht="14.25" customHeight="1" x14ac:dyDescent="0.3">
      <c r="A125" s="9" t="s">
        <v>158</v>
      </c>
      <c r="B125" s="9" t="s">
        <v>34</v>
      </c>
      <c r="C125" s="2">
        <v>95</v>
      </c>
      <c r="D125" s="12" t="s">
        <v>19</v>
      </c>
      <c r="E125" s="3">
        <v>44975</v>
      </c>
      <c r="F125" s="15">
        <v>52</v>
      </c>
      <c r="G125" s="18">
        <v>4.8</v>
      </c>
      <c r="H125" s="9">
        <f>IF(MONTH(Data!$E125)&lt;=6, YEAR(Data!$E125), YEAR(Data!$E125)+1)</f>
        <v>2023</v>
      </c>
      <c r="I125" s="9" t="str">
        <f>TEXT(Data!$E125,"DDDD")</f>
        <v>Saturday</v>
      </c>
      <c r="J125" s="9" t="s">
        <v>14</v>
      </c>
      <c r="K125" s="23">
        <f>ROUND(Data!$G125,0)</f>
        <v>5</v>
      </c>
    </row>
    <row r="126" spans="1:11" ht="14.25" customHeight="1" x14ac:dyDescent="0.3">
      <c r="A126" s="9" t="s">
        <v>159</v>
      </c>
      <c r="B126" s="9" t="s">
        <v>55</v>
      </c>
      <c r="C126" s="2">
        <v>65</v>
      </c>
      <c r="D126" s="12" t="s">
        <v>13</v>
      </c>
      <c r="E126" s="3">
        <v>44976</v>
      </c>
      <c r="F126" s="15">
        <v>80</v>
      </c>
      <c r="G126" s="18">
        <v>4</v>
      </c>
      <c r="H126" s="9">
        <f>IF(MONTH(Data!$E126)&lt;=6, YEAR(Data!$E126), YEAR(Data!$E126)+1)</f>
        <v>2023</v>
      </c>
      <c r="I126" s="9" t="str">
        <f>TEXT(Data!$E126,"DDDD")</f>
        <v>Sunday</v>
      </c>
      <c r="J126" s="9" t="s">
        <v>14</v>
      </c>
      <c r="K126" s="23">
        <f>ROUND(Data!$G126,0)</f>
        <v>4</v>
      </c>
    </row>
    <row r="127" spans="1:11" ht="14.25" customHeight="1" x14ac:dyDescent="0.3">
      <c r="A127" s="9" t="s">
        <v>160</v>
      </c>
      <c r="B127" s="9" t="s">
        <v>23</v>
      </c>
      <c r="C127" s="2">
        <v>114</v>
      </c>
      <c r="D127" s="12" t="s">
        <v>24</v>
      </c>
      <c r="E127" s="3">
        <v>44976</v>
      </c>
      <c r="F127" s="15">
        <v>54</v>
      </c>
      <c r="G127" s="18">
        <v>1.1000000000000001</v>
      </c>
      <c r="H127" s="9">
        <f>IF(MONTH(Data!$E127)&lt;=6, YEAR(Data!$E127), YEAR(Data!$E127)+1)</f>
        <v>2023</v>
      </c>
      <c r="I127" s="9" t="str">
        <f>TEXT(Data!$E127,"DDDD")</f>
        <v>Sunday</v>
      </c>
      <c r="J127" s="9" t="s">
        <v>14</v>
      </c>
      <c r="K127" s="23">
        <f>ROUND(Data!$G127,0)</f>
        <v>1</v>
      </c>
    </row>
    <row r="128" spans="1:11" ht="14.25" customHeight="1" x14ac:dyDescent="0.3">
      <c r="A128" s="9" t="s">
        <v>161</v>
      </c>
      <c r="B128" s="9" t="s">
        <v>16</v>
      </c>
      <c r="C128" s="2">
        <v>155</v>
      </c>
      <c r="D128" s="12" t="s">
        <v>24</v>
      </c>
      <c r="E128" s="3">
        <v>44977</v>
      </c>
      <c r="F128" s="15">
        <v>80</v>
      </c>
      <c r="G128" s="18">
        <v>3.9</v>
      </c>
      <c r="H128" s="9">
        <f>IF(MONTH(Data!$E128)&lt;=6, YEAR(Data!$E128), YEAR(Data!$E128)+1)</f>
        <v>2023</v>
      </c>
      <c r="I128" s="9" t="str">
        <f>TEXT(Data!$E128,"DDDD")</f>
        <v>Monday</v>
      </c>
      <c r="J128" s="9" t="s">
        <v>25</v>
      </c>
      <c r="K128" s="23">
        <f>ROUND(Data!$G128,0)</f>
        <v>4</v>
      </c>
    </row>
    <row r="129" spans="1:11" ht="14.25" customHeight="1" x14ac:dyDescent="0.3">
      <c r="A129" s="9" t="s">
        <v>162</v>
      </c>
      <c r="B129" s="9" t="s">
        <v>55</v>
      </c>
      <c r="C129" s="2">
        <v>114</v>
      </c>
      <c r="D129" s="12" t="s">
        <v>13</v>
      </c>
      <c r="E129" s="3">
        <v>44978</v>
      </c>
      <c r="F129" s="15">
        <v>120</v>
      </c>
      <c r="G129" s="18">
        <v>1.8</v>
      </c>
      <c r="H129" s="9">
        <f>IF(MONTH(Data!$E129)&lt;=6, YEAR(Data!$E129), YEAR(Data!$E129)+1)</f>
        <v>2023</v>
      </c>
      <c r="I129" s="9" t="str">
        <f>TEXT(Data!$E129,"DDDD")</f>
        <v>Tuesday</v>
      </c>
      <c r="J129" s="9" t="s">
        <v>14</v>
      </c>
      <c r="K129" s="23">
        <f>ROUND(Data!$G129,0)</f>
        <v>2</v>
      </c>
    </row>
    <row r="130" spans="1:11" ht="14.25" customHeight="1" x14ac:dyDescent="0.3">
      <c r="A130" s="9" t="s">
        <v>163</v>
      </c>
      <c r="B130" s="9" t="s">
        <v>29</v>
      </c>
      <c r="C130" s="2">
        <v>130</v>
      </c>
      <c r="D130" s="12" t="s">
        <v>31</v>
      </c>
      <c r="E130" s="3">
        <v>44978</v>
      </c>
      <c r="F130" s="15">
        <v>150</v>
      </c>
      <c r="G130" s="18">
        <v>1</v>
      </c>
      <c r="H130" s="9">
        <f>IF(MONTH(Data!$E130)&lt;=6, YEAR(Data!$E130), YEAR(Data!$E130)+1)</f>
        <v>2023</v>
      </c>
      <c r="I130" s="9" t="str">
        <f>TEXT(Data!$E130,"DDDD")</f>
        <v>Tuesday</v>
      </c>
      <c r="J130" s="9" t="s">
        <v>25</v>
      </c>
      <c r="K130" s="23">
        <f>ROUND(Data!$G130,0)</f>
        <v>1</v>
      </c>
    </row>
    <row r="131" spans="1:11" ht="14.25" customHeight="1" x14ac:dyDescent="0.3">
      <c r="A131" s="9" t="s">
        <v>164</v>
      </c>
      <c r="B131" s="9" t="s">
        <v>16</v>
      </c>
      <c r="C131" s="2">
        <v>89</v>
      </c>
      <c r="D131" s="12" t="s">
        <v>13</v>
      </c>
      <c r="E131" s="3">
        <v>44978</v>
      </c>
      <c r="F131" s="15">
        <v>90</v>
      </c>
      <c r="G131" s="18">
        <v>4.3</v>
      </c>
      <c r="H131" s="9">
        <f>IF(MONTH(Data!$E131)&lt;=6, YEAR(Data!$E131), YEAR(Data!$E131)+1)</f>
        <v>2023</v>
      </c>
      <c r="I131" s="9" t="str">
        <f>TEXT(Data!$E131,"DDDD")</f>
        <v>Tuesday</v>
      </c>
      <c r="J131" s="9" t="s">
        <v>14</v>
      </c>
      <c r="K131" s="23">
        <f>ROUND(Data!$G131,0)</f>
        <v>4</v>
      </c>
    </row>
    <row r="132" spans="1:11" ht="14.25" customHeight="1" x14ac:dyDescent="0.3">
      <c r="A132" s="9" t="s">
        <v>165</v>
      </c>
      <c r="B132" s="9" t="s">
        <v>68</v>
      </c>
      <c r="C132" s="2">
        <v>61</v>
      </c>
      <c r="D132" s="12" t="s">
        <v>35</v>
      </c>
      <c r="E132" s="3">
        <v>44979</v>
      </c>
      <c r="F132" s="15">
        <v>140</v>
      </c>
      <c r="G132" s="18">
        <v>3.4</v>
      </c>
      <c r="H132" s="9">
        <f>IF(MONTH(Data!$E132)&lt;=6, YEAR(Data!$E132), YEAR(Data!$E132)+1)</f>
        <v>2023</v>
      </c>
      <c r="I132" s="9" t="str">
        <f>TEXT(Data!$E132,"DDDD")</f>
        <v>Wednesday</v>
      </c>
      <c r="J132" s="9" t="s">
        <v>14</v>
      </c>
      <c r="K132" s="23">
        <f>ROUND(Data!$G132,0)</f>
        <v>3</v>
      </c>
    </row>
    <row r="133" spans="1:11" ht="14.25" customHeight="1" x14ac:dyDescent="0.3">
      <c r="A133" s="9" t="s">
        <v>166</v>
      </c>
      <c r="B133" s="9" t="s">
        <v>34</v>
      </c>
      <c r="C133" s="2">
        <v>154</v>
      </c>
      <c r="D133" s="12" t="s">
        <v>24</v>
      </c>
      <c r="E133" s="3">
        <v>44979</v>
      </c>
      <c r="F133" s="15">
        <v>22</v>
      </c>
      <c r="G133" s="18">
        <v>3.4</v>
      </c>
      <c r="H133" s="9">
        <f>IF(MONTH(Data!$E133)&lt;=6, YEAR(Data!$E133), YEAR(Data!$E133)+1)</f>
        <v>2023</v>
      </c>
      <c r="I133" s="9" t="str">
        <f>TEXT(Data!$E133,"DDDD")</f>
        <v>Wednesday</v>
      </c>
      <c r="J133" s="9" t="s">
        <v>25</v>
      </c>
      <c r="K133" s="23">
        <f>ROUND(Data!$G133,0)</f>
        <v>3</v>
      </c>
    </row>
    <row r="134" spans="1:11" ht="14.25" customHeight="1" x14ac:dyDescent="0.3">
      <c r="A134" s="9" t="s">
        <v>167</v>
      </c>
      <c r="B134" s="9" t="s">
        <v>55</v>
      </c>
      <c r="C134" s="2">
        <v>115</v>
      </c>
      <c r="D134" s="12" t="s">
        <v>31</v>
      </c>
      <c r="E134" s="3">
        <v>44980</v>
      </c>
      <c r="F134" s="15">
        <v>150</v>
      </c>
      <c r="G134" s="18">
        <v>4.0999999999999996</v>
      </c>
      <c r="H134" s="9">
        <f>IF(MONTH(Data!$E134)&lt;=6, YEAR(Data!$E134), YEAR(Data!$E134)+1)</f>
        <v>2023</v>
      </c>
      <c r="I134" s="9" t="str">
        <f>TEXT(Data!$E134,"DDDD")</f>
        <v>Thursday</v>
      </c>
      <c r="J134" s="9" t="s">
        <v>14</v>
      </c>
      <c r="K134" s="23">
        <f>ROUND(Data!$G134,0)</f>
        <v>4</v>
      </c>
    </row>
    <row r="135" spans="1:11" ht="14.25" customHeight="1" x14ac:dyDescent="0.3">
      <c r="A135" s="9" t="s">
        <v>168</v>
      </c>
      <c r="B135" s="9" t="s">
        <v>88</v>
      </c>
      <c r="C135" s="2">
        <v>138</v>
      </c>
      <c r="D135" s="12" t="s">
        <v>19</v>
      </c>
      <c r="E135" s="3">
        <v>44981</v>
      </c>
      <c r="F135" s="15">
        <v>35</v>
      </c>
      <c r="G135" s="18">
        <v>4.8</v>
      </c>
      <c r="H135" s="9">
        <f>IF(MONTH(Data!$E135)&lt;=6, YEAR(Data!$E135), YEAR(Data!$E135)+1)</f>
        <v>2023</v>
      </c>
      <c r="I135" s="9" t="str">
        <f>TEXT(Data!$E135,"DDDD")</f>
        <v>Friday</v>
      </c>
      <c r="J135" s="9" t="s">
        <v>25</v>
      </c>
      <c r="K135" s="23">
        <f>ROUND(Data!$G135,0)</f>
        <v>5</v>
      </c>
    </row>
    <row r="136" spans="1:11" ht="14.25" customHeight="1" x14ac:dyDescent="0.3">
      <c r="A136" s="9" t="s">
        <v>169</v>
      </c>
      <c r="B136" s="9" t="s">
        <v>21</v>
      </c>
      <c r="C136" s="2">
        <v>153</v>
      </c>
      <c r="D136" s="12" t="s">
        <v>13</v>
      </c>
      <c r="E136" s="3">
        <v>44981</v>
      </c>
      <c r="F136" s="15">
        <v>200</v>
      </c>
      <c r="G136" s="18">
        <v>2</v>
      </c>
      <c r="H136" s="9">
        <f>IF(MONTH(Data!$E136)&lt;=6, YEAR(Data!$E136), YEAR(Data!$E136)+1)</f>
        <v>2023</v>
      </c>
      <c r="I136" s="9" t="str">
        <f>TEXT(Data!$E136,"DDDD")</f>
        <v>Friday</v>
      </c>
      <c r="J136" s="9" t="s">
        <v>25</v>
      </c>
      <c r="K136" s="23">
        <f>ROUND(Data!$G136,0)</f>
        <v>2</v>
      </c>
    </row>
    <row r="137" spans="1:11" ht="14.25" customHeight="1" x14ac:dyDescent="0.3">
      <c r="A137" s="9" t="s">
        <v>170</v>
      </c>
      <c r="B137" s="9" t="s">
        <v>55</v>
      </c>
      <c r="C137" s="2">
        <v>61</v>
      </c>
      <c r="D137" s="12" t="s">
        <v>35</v>
      </c>
      <c r="E137" s="3">
        <v>44982</v>
      </c>
      <c r="F137" s="15">
        <v>150</v>
      </c>
      <c r="G137" s="18">
        <v>4.5999999999999996</v>
      </c>
      <c r="H137" s="9">
        <f>IF(MONTH(Data!$E137)&lt;=6, YEAR(Data!$E137), YEAR(Data!$E137)+1)</f>
        <v>2023</v>
      </c>
      <c r="I137" s="9" t="str">
        <f>TEXT(Data!$E137,"DDDD")</f>
        <v>Saturday</v>
      </c>
      <c r="J137" s="9" t="s">
        <v>14</v>
      </c>
      <c r="K137" s="23">
        <f>ROUND(Data!$G137,0)</f>
        <v>5</v>
      </c>
    </row>
    <row r="138" spans="1:11" ht="14.25" customHeight="1" x14ac:dyDescent="0.3">
      <c r="A138" s="9" t="s">
        <v>171</v>
      </c>
      <c r="B138" s="9" t="s">
        <v>46</v>
      </c>
      <c r="C138" s="2">
        <v>62</v>
      </c>
      <c r="D138" s="12" t="s">
        <v>13</v>
      </c>
      <c r="E138" s="3">
        <v>44982</v>
      </c>
      <c r="F138" s="15">
        <v>21</v>
      </c>
      <c r="G138" s="18">
        <v>2.6</v>
      </c>
      <c r="H138" s="9">
        <f>IF(MONTH(Data!$E138)&lt;=6, YEAR(Data!$E138), YEAR(Data!$E138)+1)</f>
        <v>2023</v>
      </c>
      <c r="I138" s="9" t="str">
        <f>TEXT(Data!$E138,"DDDD")</f>
        <v>Saturday</v>
      </c>
      <c r="J138" s="9" t="s">
        <v>14</v>
      </c>
      <c r="K138" s="23">
        <f>ROUND(Data!$G138,0)</f>
        <v>3</v>
      </c>
    </row>
    <row r="139" spans="1:11" ht="14.25" customHeight="1" x14ac:dyDescent="0.3">
      <c r="A139" s="9" t="s">
        <v>172</v>
      </c>
      <c r="B139" s="9" t="s">
        <v>68</v>
      </c>
      <c r="C139" s="2">
        <v>151</v>
      </c>
      <c r="D139" s="12" t="s">
        <v>31</v>
      </c>
      <c r="E139" s="3">
        <v>44983</v>
      </c>
      <c r="F139" s="15">
        <v>46</v>
      </c>
      <c r="G139" s="18">
        <v>4.9000000000000004</v>
      </c>
      <c r="H139" s="9">
        <f>IF(MONTH(Data!$E139)&lt;=6, YEAR(Data!$E139), YEAR(Data!$E139)+1)</f>
        <v>2023</v>
      </c>
      <c r="I139" s="9" t="str">
        <f>TEXT(Data!$E139,"DDDD")</f>
        <v>Sunday</v>
      </c>
      <c r="J139" s="9" t="s">
        <v>25</v>
      </c>
      <c r="K139" s="23">
        <f>ROUND(Data!$G139,0)</f>
        <v>5</v>
      </c>
    </row>
    <row r="140" spans="1:11" ht="14.25" customHeight="1" x14ac:dyDescent="0.3">
      <c r="A140" s="9" t="s">
        <v>173</v>
      </c>
      <c r="B140" s="9" t="s">
        <v>58</v>
      </c>
      <c r="C140" s="2">
        <v>102</v>
      </c>
      <c r="D140" s="12" t="s">
        <v>24</v>
      </c>
      <c r="E140" s="3">
        <v>44983</v>
      </c>
      <c r="F140" s="15">
        <v>165</v>
      </c>
      <c r="G140" s="18">
        <v>2.7</v>
      </c>
      <c r="H140" s="9">
        <f>IF(MONTH(Data!$E140)&lt;=6, YEAR(Data!$E140), YEAR(Data!$E140)+1)</f>
        <v>2023</v>
      </c>
      <c r="I140" s="9" t="str">
        <f>TEXT(Data!$E140,"DDDD")</f>
        <v>Sunday</v>
      </c>
      <c r="J140" s="9" t="s">
        <v>14</v>
      </c>
      <c r="K140" s="23">
        <f>ROUND(Data!$G140,0)</f>
        <v>3</v>
      </c>
    </row>
    <row r="141" spans="1:11" ht="14.25" customHeight="1" x14ac:dyDescent="0.3">
      <c r="A141" s="9" t="s">
        <v>174</v>
      </c>
      <c r="B141" s="9" t="s">
        <v>50</v>
      </c>
      <c r="C141" s="2">
        <v>64</v>
      </c>
      <c r="D141" s="12" t="s">
        <v>13</v>
      </c>
      <c r="E141" s="3">
        <v>44983</v>
      </c>
      <c r="F141" s="15">
        <v>84</v>
      </c>
      <c r="G141" s="18">
        <v>4.0999999999999996</v>
      </c>
      <c r="H141" s="9">
        <f>IF(MONTH(Data!$E141)&lt;=6, YEAR(Data!$E141), YEAR(Data!$E141)+1)</f>
        <v>2023</v>
      </c>
      <c r="I141" s="9" t="str">
        <f>TEXT(Data!$E141,"DDDD")</f>
        <v>Sunday</v>
      </c>
      <c r="J141" s="9" t="s">
        <v>14</v>
      </c>
      <c r="K141" s="23">
        <f>ROUND(Data!$G141,0)</f>
        <v>4</v>
      </c>
    </row>
    <row r="142" spans="1:11" ht="14.25" customHeight="1" x14ac:dyDescent="0.3">
      <c r="A142" s="9" t="s">
        <v>175</v>
      </c>
      <c r="B142" s="9" t="s">
        <v>16</v>
      </c>
      <c r="C142" s="2">
        <v>6</v>
      </c>
      <c r="D142" s="12" t="s">
        <v>24</v>
      </c>
      <c r="E142" s="3">
        <v>44984</v>
      </c>
      <c r="F142" s="15">
        <v>102</v>
      </c>
      <c r="G142" s="18">
        <v>4.4000000000000004</v>
      </c>
      <c r="H142" s="9">
        <f>IF(MONTH(Data!$E142)&lt;=6, YEAR(Data!$E142), YEAR(Data!$E142)+1)</f>
        <v>2023</v>
      </c>
      <c r="I142" s="9" t="str">
        <f>TEXT(Data!$E142,"DDDD")</f>
        <v>Monday</v>
      </c>
      <c r="J142" s="9" t="s">
        <v>176</v>
      </c>
      <c r="K142" s="23">
        <f>ROUND(Data!$G142,0)</f>
        <v>4</v>
      </c>
    </row>
    <row r="143" spans="1:11" ht="14.25" customHeight="1" x14ac:dyDescent="0.3">
      <c r="A143" s="9" t="s">
        <v>177</v>
      </c>
      <c r="B143" s="9" t="s">
        <v>50</v>
      </c>
      <c r="C143" s="2">
        <v>129</v>
      </c>
      <c r="D143" s="12" t="s">
        <v>13</v>
      </c>
      <c r="E143" s="3">
        <v>44984</v>
      </c>
      <c r="F143" s="15">
        <v>180</v>
      </c>
      <c r="G143" s="18">
        <v>4.8</v>
      </c>
      <c r="H143" s="9">
        <f>IF(MONTH(Data!$E143)&lt;=6, YEAR(Data!$E143), YEAR(Data!$E143)+1)</f>
        <v>2023</v>
      </c>
      <c r="I143" s="9" t="str">
        <f>TEXT(Data!$E143,"DDDD")</f>
        <v>Monday</v>
      </c>
      <c r="J143" s="9" t="s">
        <v>25</v>
      </c>
      <c r="K143" s="23">
        <f>ROUND(Data!$G143,0)</f>
        <v>5</v>
      </c>
    </row>
    <row r="144" spans="1:11" ht="14.25" customHeight="1" x14ac:dyDescent="0.3">
      <c r="A144" s="9" t="s">
        <v>178</v>
      </c>
      <c r="B144" s="9" t="s">
        <v>46</v>
      </c>
      <c r="C144" s="2">
        <v>42</v>
      </c>
      <c r="D144" s="12" t="s">
        <v>31</v>
      </c>
      <c r="E144" s="3">
        <v>44985</v>
      </c>
      <c r="F144" s="15">
        <v>111</v>
      </c>
      <c r="G144" s="18">
        <v>3</v>
      </c>
      <c r="H144" s="9">
        <f>IF(MONTH(Data!$E144)&lt;=6, YEAR(Data!$E144), YEAR(Data!$E144)+1)</f>
        <v>2023</v>
      </c>
      <c r="I144" s="9" t="str">
        <f>TEXT(Data!$E144,"DDDD")</f>
        <v>Tuesday</v>
      </c>
      <c r="J144" s="9" t="s">
        <v>27</v>
      </c>
      <c r="K144" s="23">
        <f>ROUND(Data!$G144,0)</f>
        <v>3</v>
      </c>
    </row>
    <row r="145" spans="1:11" ht="14.25" customHeight="1" x14ac:dyDescent="0.3">
      <c r="A145" s="9" t="s">
        <v>179</v>
      </c>
      <c r="B145" s="9" t="s">
        <v>46</v>
      </c>
      <c r="C145" s="2">
        <v>71</v>
      </c>
      <c r="D145" s="12" t="s">
        <v>35</v>
      </c>
      <c r="E145" s="3">
        <v>44985</v>
      </c>
      <c r="F145" s="15">
        <v>104</v>
      </c>
      <c r="G145" s="18">
        <v>3.1</v>
      </c>
      <c r="H145" s="9">
        <f>IF(MONTH(Data!$E145)&lt;=6, YEAR(Data!$E145), YEAR(Data!$E145)+1)</f>
        <v>2023</v>
      </c>
      <c r="I145" s="9" t="str">
        <f>TEXT(Data!$E145,"DDDD")</f>
        <v>Tuesday</v>
      </c>
      <c r="J145" s="9" t="s">
        <v>14</v>
      </c>
      <c r="K145" s="23">
        <f>ROUND(Data!$G145,0)</f>
        <v>3</v>
      </c>
    </row>
    <row r="146" spans="1:11" ht="14.25" customHeight="1" x14ac:dyDescent="0.3">
      <c r="A146" s="9" t="s">
        <v>180</v>
      </c>
      <c r="B146" s="9" t="s">
        <v>18</v>
      </c>
      <c r="C146" s="2">
        <v>53</v>
      </c>
      <c r="D146" s="12" t="s">
        <v>24</v>
      </c>
      <c r="E146" s="3">
        <v>44985</v>
      </c>
      <c r="F146" s="15">
        <v>80</v>
      </c>
      <c r="G146" s="18">
        <v>2.6</v>
      </c>
      <c r="H146" s="9">
        <f>IF(MONTH(Data!$E146)&lt;=6, YEAR(Data!$E146), YEAR(Data!$E146)+1)</f>
        <v>2023</v>
      </c>
      <c r="I146" s="9" t="str">
        <f>TEXT(Data!$E146,"DDDD")</f>
        <v>Tuesday</v>
      </c>
      <c r="J146" s="9" t="s">
        <v>27</v>
      </c>
      <c r="K146" s="23">
        <f>ROUND(Data!$G146,0)</f>
        <v>3</v>
      </c>
    </row>
    <row r="147" spans="1:11" ht="14.25" customHeight="1" x14ac:dyDescent="0.3">
      <c r="A147" s="9" t="s">
        <v>181</v>
      </c>
      <c r="B147" s="9" t="s">
        <v>23</v>
      </c>
      <c r="C147" s="2">
        <v>155</v>
      </c>
      <c r="D147" s="12" t="s">
        <v>35</v>
      </c>
      <c r="E147" s="3">
        <v>44986</v>
      </c>
      <c r="F147" s="15">
        <v>132</v>
      </c>
      <c r="G147" s="18">
        <v>4.5999999999999996</v>
      </c>
      <c r="H147" s="9">
        <f>IF(MONTH(Data!$E147)&lt;=6, YEAR(Data!$E147), YEAR(Data!$E147)+1)</f>
        <v>2023</v>
      </c>
      <c r="I147" s="9" t="str">
        <f>TEXT(Data!$E147,"DDDD")</f>
        <v>Wednesday</v>
      </c>
      <c r="J147" s="9" t="s">
        <v>25</v>
      </c>
      <c r="K147" s="23">
        <f>ROUND(Data!$G147,0)</f>
        <v>5</v>
      </c>
    </row>
    <row r="148" spans="1:11" ht="14.25" customHeight="1" x14ac:dyDescent="0.3">
      <c r="A148" s="9" t="s">
        <v>182</v>
      </c>
      <c r="B148" s="9" t="s">
        <v>23</v>
      </c>
      <c r="C148" s="2">
        <v>90</v>
      </c>
      <c r="D148" s="12" t="s">
        <v>31</v>
      </c>
      <c r="E148" s="3">
        <v>44986</v>
      </c>
      <c r="F148" s="15">
        <v>170</v>
      </c>
      <c r="G148" s="18">
        <v>3.7</v>
      </c>
      <c r="H148" s="9">
        <f>IF(MONTH(Data!$E148)&lt;=6, YEAR(Data!$E148), YEAR(Data!$E148)+1)</f>
        <v>2023</v>
      </c>
      <c r="I148" s="9" t="str">
        <f>TEXT(Data!$E148,"DDDD")</f>
        <v>Wednesday</v>
      </c>
      <c r="J148" s="9" t="s">
        <v>14</v>
      </c>
      <c r="K148" s="23">
        <f>ROUND(Data!$G148,0)</f>
        <v>4</v>
      </c>
    </row>
    <row r="149" spans="1:11" ht="14.25" customHeight="1" x14ac:dyDescent="0.3">
      <c r="A149" s="9" t="s">
        <v>183</v>
      </c>
      <c r="B149" s="9" t="s">
        <v>50</v>
      </c>
      <c r="C149" s="2">
        <v>166</v>
      </c>
      <c r="D149" s="12" t="s">
        <v>19</v>
      </c>
      <c r="E149" s="3">
        <v>44986</v>
      </c>
      <c r="F149" s="15">
        <v>36</v>
      </c>
      <c r="G149" s="18">
        <v>3.8</v>
      </c>
      <c r="H149" s="9">
        <f>IF(MONTH(Data!$E149)&lt;=6, YEAR(Data!$E149), YEAR(Data!$E149)+1)</f>
        <v>2023</v>
      </c>
      <c r="I149" s="9" t="str">
        <f>TEXT(Data!$E149,"DDDD")</f>
        <v>Wednesday</v>
      </c>
      <c r="J149" s="9" t="s">
        <v>25</v>
      </c>
      <c r="K149" s="23">
        <f>ROUND(Data!$G149,0)</f>
        <v>4</v>
      </c>
    </row>
    <row r="150" spans="1:11" ht="14.25" customHeight="1" x14ac:dyDescent="0.3">
      <c r="A150" s="9" t="s">
        <v>184</v>
      </c>
      <c r="B150" s="9" t="s">
        <v>40</v>
      </c>
      <c r="C150" s="2">
        <v>89</v>
      </c>
      <c r="D150" s="12" t="s">
        <v>35</v>
      </c>
      <c r="E150" s="3">
        <v>44986</v>
      </c>
      <c r="F150" s="15">
        <v>126</v>
      </c>
      <c r="G150" s="18">
        <v>3.6</v>
      </c>
      <c r="H150" s="9">
        <f>IF(MONTH(Data!$E150)&lt;=6, YEAR(Data!$E150), YEAR(Data!$E150)+1)</f>
        <v>2023</v>
      </c>
      <c r="I150" s="9" t="str">
        <f>TEXT(Data!$E150,"DDDD")</f>
        <v>Wednesday</v>
      </c>
      <c r="J150" s="9" t="s">
        <v>14</v>
      </c>
      <c r="K150" s="23">
        <f>ROUND(Data!$G150,0)</f>
        <v>4</v>
      </c>
    </row>
    <row r="151" spans="1:11" ht="14.25" customHeight="1" x14ac:dyDescent="0.3">
      <c r="A151" s="9" t="s">
        <v>185</v>
      </c>
      <c r="B151" s="9" t="s">
        <v>55</v>
      </c>
      <c r="C151" s="2">
        <v>152</v>
      </c>
      <c r="D151" s="12" t="s">
        <v>24</v>
      </c>
      <c r="E151" s="3">
        <v>44986</v>
      </c>
      <c r="F151" s="15">
        <v>215</v>
      </c>
      <c r="G151" s="18">
        <v>4.4000000000000004</v>
      </c>
      <c r="H151" s="9">
        <f>IF(MONTH(Data!$E151)&lt;=6, YEAR(Data!$E151), YEAR(Data!$E151)+1)</f>
        <v>2023</v>
      </c>
      <c r="I151" s="9" t="str">
        <f>TEXT(Data!$E151,"DDDD")</f>
        <v>Wednesday</v>
      </c>
      <c r="J151" s="9" t="s">
        <v>25</v>
      </c>
      <c r="K151" s="23">
        <f>ROUND(Data!$G151,0)</f>
        <v>4</v>
      </c>
    </row>
    <row r="152" spans="1:11" ht="14.25" customHeight="1" x14ac:dyDescent="0.3">
      <c r="A152" s="9" t="s">
        <v>186</v>
      </c>
      <c r="B152" s="9" t="s">
        <v>40</v>
      </c>
      <c r="C152" s="2">
        <v>137</v>
      </c>
      <c r="D152" s="12" t="s">
        <v>31</v>
      </c>
      <c r="E152" s="3">
        <v>44986</v>
      </c>
      <c r="F152" s="15">
        <v>114</v>
      </c>
      <c r="G152" s="18">
        <v>3.2</v>
      </c>
      <c r="H152" s="9">
        <f>IF(MONTH(Data!$E152)&lt;=6, YEAR(Data!$E152), YEAR(Data!$E152)+1)</f>
        <v>2023</v>
      </c>
      <c r="I152" s="9" t="str">
        <f>TEXT(Data!$E152,"DDDD")</f>
        <v>Wednesday</v>
      </c>
      <c r="J152" s="9" t="s">
        <v>25</v>
      </c>
      <c r="K152" s="23">
        <f>ROUND(Data!$G152,0)</f>
        <v>3</v>
      </c>
    </row>
    <row r="153" spans="1:11" ht="14.25" customHeight="1" x14ac:dyDescent="0.3">
      <c r="A153" s="9" t="s">
        <v>187</v>
      </c>
      <c r="B153" s="9" t="s">
        <v>40</v>
      </c>
      <c r="C153" s="2">
        <v>43</v>
      </c>
      <c r="D153" s="12" t="s">
        <v>31</v>
      </c>
      <c r="E153" s="3">
        <v>44986</v>
      </c>
      <c r="F153" s="15">
        <v>99</v>
      </c>
      <c r="G153" s="18">
        <v>4.7</v>
      </c>
      <c r="H153" s="9">
        <f>IF(MONTH(Data!$E153)&lt;=6, YEAR(Data!$E153), YEAR(Data!$E153)+1)</f>
        <v>2023</v>
      </c>
      <c r="I153" s="9" t="str">
        <f>TEXT(Data!$E153,"DDDD")</f>
        <v>Wednesday</v>
      </c>
      <c r="J153" s="9" t="s">
        <v>27</v>
      </c>
      <c r="K153" s="23">
        <f>ROUND(Data!$G153,0)</f>
        <v>5</v>
      </c>
    </row>
    <row r="154" spans="1:11" ht="14.25" customHeight="1" x14ac:dyDescent="0.3">
      <c r="A154" s="9" t="s">
        <v>188</v>
      </c>
      <c r="B154" s="9" t="s">
        <v>34</v>
      </c>
      <c r="C154" s="2">
        <v>114</v>
      </c>
      <c r="D154" s="12" t="s">
        <v>31</v>
      </c>
      <c r="E154" s="3">
        <v>44987</v>
      </c>
      <c r="F154" s="15">
        <v>23</v>
      </c>
      <c r="G154" s="18">
        <v>4.8</v>
      </c>
      <c r="H154" s="9">
        <f>IF(MONTH(Data!$E154)&lt;=6, YEAR(Data!$E154), YEAR(Data!$E154)+1)</f>
        <v>2023</v>
      </c>
      <c r="I154" s="9" t="str">
        <f>TEXT(Data!$E154,"DDDD")</f>
        <v>Thursday</v>
      </c>
      <c r="J154" s="9" t="s">
        <v>14</v>
      </c>
      <c r="K154" s="23">
        <f>ROUND(Data!$G154,0)</f>
        <v>5</v>
      </c>
    </row>
    <row r="155" spans="1:11" ht="14.25" customHeight="1" x14ac:dyDescent="0.3">
      <c r="A155" s="9" t="s">
        <v>189</v>
      </c>
      <c r="B155" s="9" t="s">
        <v>21</v>
      </c>
      <c r="C155" s="2">
        <v>103</v>
      </c>
      <c r="D155" s="12" t="s">
        <v>35</v>
      </c>
      <c r="E155" s="3">
        <v>44987</v>
      </c>
      <c r="F155" s="15">
        <v>75</v>
      </c>
      <c r="G155" s="18">
        <v>2.7</v>
      </c>
      <c r="H155" s="9">
        <f>IF(MONTH(Data!$E155)&lt;=6, YEAR(Data!$E155), YEAR(Data!$E155)+1)</f>
        <v>2023</v>
      </c>
      <c r="I155" s="9" t="str">
        <f>TEXT(Data!$E155,"DDDD")</f>
        <v>Thursday</v>
      </c>
      <c r="J155" s="9" t="s">
        <v>14</v>
      </c>
      <c r="K155" s="23">
        <f>ROUND(Data!$G155,0)</f>
        <v>3</v>
      </c>
    </row>
    <row r="156" spans="1:11" ht="14.25" customHeight="1" x14ac:dyDescent="0.3">
      <c r="A156" s="9" t="s">
        <v>190</v>
      </c>
      <c r="B156" s="9" t="s">
        <v>40</v>
      </c>
      <c r="C156" s="2">
        <v>98</v>
      </c>
      <c r="D156" s="12" t="s">
        <v>24</v>
      </c>
      <c r="E156" s="3">
        <v>44987</v>
      </c>
      <c r="F156" s="15">
        <v>100</v>
      </c>
      <c r="G156" s="18">
        <v>3.8</v>
      </c>
      <c r="H156" s="9">
        <f>IF(MONTH(Data!$E156)&lt;=6, YEAR(Data!$E156), YEAR(Data!$E156)+1)</f>
        <v>2023</v>
      </c>
      <c r="I156" s="9" t="str">
        <f>TEXT(Data!$E156,"DDDD")</f>
        <v>Thursday</v>
      </c>
      <c r="J156" s="9" t="s">
        <v>14</v>
      </c>
      <c r="K156" s="23">
        <f>ROUND(Data!$G156,0)</f>
        <v>4</v>
      </c>
    </row>
    <row r="157" spans="1:11" ht="14.25" customHeight="1" x14ac:dyDescent="0.3">
      <c r="A157" s="9" t="s">
        <v>191</v>
      </c>
      <c r="B157" s="9" t="s">
        <v>50</v>
      </c>
      <c r="C157" s="2">
        <v>106</v>
      </c>
      <c r="D157" s="12" t="s">
        <v>19</v>
      </c>
      <c r="E157" s="3">
        <v>44987</v>
      </c>
      <c r="F157" s="15">
        <v>108</v>
      </c>
      <c r="G157" s="18">
        <v>4.3</v>
      </c>
      <c r="H157" s="9">
        <f>IF(MONTH(Data!$E157)&lt;=6, YEAR(Data!$E157), YEAR(Data!$E157)+1)</f>
        <v>2023</v>
      </c>
      <c r="I157" s="9" t="str">
        <f>TEXT(Data!$E157,"DDDD")</f>
        <v>Thursday</v>
      </c>
      <c r="J157" s="9" t="s">
        <v>14</v>
      </c>
      <c r="K157" s="23">
        <f>ROUND(Data!$G157,0)</f>
        <v>4</v>
      </c>
    </row>
    <row r="158" spans="1:11" ht="14.25" customHeight="1" x14ac:dyDescent="0.3">
      <c r="A158" s="9" t="s">
        <v>192</v>
      </c>
      <c r="B158" s="9" t="s">
        <v>16</v>
      </c>
      <c r="C158" s="2">
        <v>96</v>
      </c>
      <c r="D158" s="12" t="s">
        <v>19</v>
      </c>
      <c r="E158" s="3">
        <v>44987</v>
      </c>
      <c r="F158" s="15">
        <v>108</v>
      </c>
      <c r="G158" s="18">
        <v>5</v>
      </c>
      <c r="H158" s="9">
        <f>IF(MONTH(Data!$E158)&lt;=6, YEAR(Data!$E158), YEAR(Data!$E158)+1)</f>
        <v>2023</v>
      </c>
      <c r="I158" s="9" t="str">
        <f>TEXT(Data!$E158,"DDDD")</f>
        <v>Thursday</v>
      </c>
      <c r="J158" s="9" t="s">
        <v>14</v>
      </c>
      <c r="K158" s="23">
        <f>ROUND(Data!$G158,0)</f>
        <v>5</v>
      </c>
    </row>
    <row r="159" spans="1:11" ht="14.25" customHeight="1" x14ac:dyDescent="0.3">
      <c r="A159" s="9" t="s">
        <v>193</v>
      </c>
      <c r="B159" s="9" t="s">
        <v>21</v>
      </c>
      <c r="C159" s="2">
        <v>70</v>
      </c>
      <c r="D159" s="12" t="s">
        <v>19</v>
      </c>
      <c r="E159" s="3">
        <v>44987</v>
      </c>
      <c r="F159" s="15">
        <v>28</v>
      </c>
      <c r="G159" s="18">
        <v>4.8</v>
      </c>
      <c r="H159" s="9">
        <f>IF(MONTH(Data!$E159)&lt;=6, YEAR(Data!$E159), YEAR(Data!$E159)+1)</f>
        <v>2023</v>
      </c>
      <c r="I159" s="9" t="str">
        <f>TEXT(Data!$E159,"DDDD")</f>
        <v>Thursday</v>
      </c>
      <c r="J159" s="9" t="s">
        <v>14</v>
      </c>
      <c r="K159" s="23">
        <f>ROUND(Data!$G159,0)</f>
        <v>5</v>
      </c>
    </row>
    <row r="160" spans="1:11" ht="14.25" customHeight="1" x14ac:dyDescent="0.3">
      <c r="A160" s="9" t="s">
        <v>194</v>
      </c>
      <c r="B160" s="9" t="s">
        <v>46</v>
      </c>
      <c r="C160" s="2">
        <v>86</v>
      </c>
      <c r="D160" s="12" t="s">
        <v>13</v>
      </c>
      <c r="E160" s="3">
        <v>44988</v>
      </c>
      <c r="F160" s="15">
        <v>70</v>
      </c>
      <c r="G160" s="18">
        <v>4.9000000000000004</v>
      </c>
      <c r="H160" s="9">
        <f>IF(MONTH(Data!$E160)&lt;=6, YEAR(Data!$E160), YEAR(Data!$E160)+1)</f>
        <v>2023</v>
      </c>
      <c r="I160" s="9" t="str">
        <f>TEXT(Data!$E160,"DDDD")</f>
        <v>Friday</v>
      </c>
      <c r="J160" s="9" t="s">
        <v>14</v>
      </c>
      <c r="K160" s="23">
        <f>ROUND(Data!$G160,0)</f>
        <v>5</v>
      </c>
    </row>
    <row r="161" spans="1:11" ht="14.25" customHeight="1" x14ac:dyDescent="0.3">
      <c r="A161" s="9" t="s">
        <v>195</v>
      </c>
      <c r="B161" s="9" t="s">
        <v>18</v>
      </c>
      <c r="C161" s="2">
        <v>64</v>
      </c>
      <c r="D161" s="12" t="s">
        <v>13</v>
      </c>
      <c r="E161" s="3">
        <v>44988</v>
      </c>
      <c r="F161" s="15">
        <v>172</v>
      </c>
      <c r="G161" s="18">
        <v>4.0999999999999996</v>
      </c>
      <c r="H161" s="9">
        <f>IF(MONTH(Data!$E161)&lt;=6, YEAR(Data!$E161), YEAR(Data!$E161)+1)</f>
        <v>2023</v>
      </c>
      <c r="I161" s="9" t="str">
        <f>TEXT(Data!$E161,"DDDD")</f>
        <v>Friday</v>
      </c>
      <c r="J161" s="9" t="s">
        <v>14</v>
      </c>
      <c r="K161" s="23">
        <f>ROUND(Data!$G161,0)</f>
        <v>4</v>
      </c>
    </row>
    <row r="162" spans="1:11" ht="14.25" customHeight="1" x14ac:dyDescent="0.3">
      <c r="A162" s="9" t="s">
        <v>196</v>
      </c>
      <c r="B162" s="9" t="s">
        <v>16</v>
      </c>
      <c r="C162" s="2">
        <v>113</v>
      </c>
      <c r="D162" s="12" t="s">
        <v>24</v>
      </c>
      <c r="E162" s="3">
        <v>44988</v>
      </c>
      <c r="F162" s="15">
        <v>123</v>
      </c>
      <c r="G162" s="18">
        <v>4.4000000000000004</v>
      </c>
      <c r="H162" s="9">
        <f>IF(MONTH(Data!$E162)&lt;=6, YEAR(Data!$E162), YEAR(Data!$E162)+1)</f>
        <v>2023</v>
      </c>
      <c r="I162" s="9" t="str">
        <f>TEXT(Data!$E162,"DDDD")</f>
        <v>Friday</v>
      </c>
      <c r="J162" s="9" t="s">
        <v>14</v>
      </c>
      <c r="K162" s="23">
        <f>ROUND(Data!$G162,0)</f>
        <v>4</v>
      </c>
    </row>
    <row r="163" spans="1:11" ht="14.25" customHeight="1" x14ac:dyDescent="0.3">
      <c r="A163" s="9" t="s">
        <v>197</v>
      </c>
      <c r="B163" s="9" t="s">
        <v>16</v>
      </c>
      <c r="C163" s="2">
        <v>21</v>
      </c>
      <c r="D163" s="12" t="s">
        <v>19</v>
      </c>
      <c r="E163" s="3">
        <v>44988</v>
      </c>
      <c r="F163" s="15">
        <v>93</v>
      </c>
      <c r="G163" s="18">
        <v>3.4</v>
      </c>
      <c r="H163" s="9">
        <f>IF(MONTH(Data!$E163)&lt;=6, YEAR(Data!$E163), YEAR(Data!$E163)+1)</f>
        <v>2023</v>
      </c>
      <c r="I163" s="9" t="str">
        <f>TEXT(Data!$E163,"DDDD")</f>
        <v>Friday</v>
      </c>
      <c r="J163" s="9" t="s">
        <v>47</v>
      </c>
      <c r="K163" s="23">
        <f>ROUND(Data!$G163,0)</f>
        <v>3</v>
      </c>
    </row>
    <row r="164" spans="1:11" ht="14.25" customHeight="1" x14ac:dyDescent="0.3">
      <c r="A164" s="9" t="s">
        <v>198</v>
      </c>
      <c r="B164" s="9" t="s">
        <v>58</v>
      </c>
      <c r="C164" s="2">
        <v>107</v>
      </c>
      <c r="D164" s="12" t="s">
        <v>13</v>
      </c>
      <c r="E164" s="3">
        <v>44988</v>
      </c>
      <c r="F164" s="15">
        <v>66</v>
      </c>
      <c r="G164" s="18">
        <v>4</v>
      </c>
      <c r="H164" s="9">
        <f>IF(MONTH(Data!$E164)&lt;=6, YEAR(Data!$E164), YEAR(Data!$E164)+1)</f>
        <v>2023</v>
      </c>
      <c r="I164" s="9" t="str">
        <f>TEXT(Data!$E164,"DDDD")</f>
        <v>Friday</v>
      </c>
      <c r="J164" s="9" t="s">
        <v>14</v>
      </c>
      <c r="K164" s="23">
        <f>ROUND(Data!$G164,0)</f>
        <v>4</v>
      </c>
    </row>
    <row r="165" spans="1:11" ht="14.25" customHeight="1" x14ac:dyDescent="0.3">
      <c r="A165" s="9" t="s">
        <v>199</v>
      </c>
      <c r="B165" s="9" t="s">
        <v>58</v>
      </c>
      <c r="C165" s="2">
        <v>131</v>
      </c>
      <c r="D165" s="12" t="s">
        <v>19</v>
      </c>
      <c r="E165" s="3">
        <v>44988</v>
      </c>
      <c r="F165" s="15">
        <v>39</v>
      </c>
      <c r="G165" s="18">
        <v>2.4</v>
      </c>
      <c r="H165" s="9">
        <f>IF(MONTH(Data!$E165)&lt;=6, YEAR(Data!$E165), YEAR(Data!$E165)+1)</f>
        <v>2023</v>
      </c>
      <c r="I165" s="9" t="str">
        <f>TEXT(Data!$E165,"DDDD")</f>
        <v>Friday</v>
      </c>
      <c r="J165" s="9" t="s">
        <v>25</v>
      </c>
      <c r="K165" s="23">
        <f>ROUND(Data!$G165,0)</f>
        <v>2</v>
      </c>
    </row>
    <row r="166" spans="1:11" ht="14.25" customHeight="1" x14ac:dyDescent="0.3">
      <c r="A166" s="9" t="s">
        <v>200</v>
      </c>
      <c r="B166" s="9" t="s">
        <v>12</v>
      </c>
      <c r="C166" s="2">
        <v>11</v>
      </c>
      <c r="D166" s="12" t="s">
        <v>35</v>
      </c>
      <c r="E166" s="3">
        <v>44988</v>
      </c>
      <c r="F166" s="15">
        <v>25</v>
      </c>
      <c r="G166" s="18">
        <v>2.1</v>
      </c>
      <c r="H166" s="9">
        <f>IF(MONTH(Data!$E166)&lt;=6, YEAR(Data!$E166), YEAR(Data!$E166)+1)</f>
        <v>2023</v>
      </c>
      <c r="I166" s="9" t="str">
        <f>TEXT(Data!$E166,"DDDD")</f>
        <v>Friday</v>
      </c>
      <c r="J166" s="9" t="s">
        <v>47</v>
      </c>
      <c r="K166" s="23">
        <f>ROUND(Data!$G166,0)</f>
        <v>2</v>
      </c>
    </row>
    <row r="167" spans="1:11" ht="14.25" customHeight="1" x14ac:dyDescent="0.3">
      <c r="A167" s="9" t="s">
        <v>201</v>
      </c>
      <c r="B167" s="9" t="s">
        <v>68</v>
      </c>
      <c r="C167" s="2">
        <v>86</v>
      </c>
      <c r="D167" s="12" t="s">
        <v>24</v>
      </c>
      <c r="E167" s="3">
        <v>44988</v>
      </c>
      <c r="F167" s="15">
        <v>68</v>
      </c>
      <c r="G167" s="18">
        <v>3</v>
      </c>
      <c r="H167" s="9">
        <f>IF(MONTH(Data!$E167)&lt;=6, YEAR(Data!$E167), YEAR(Data!$E167)+1)</f>
        <v>2023</v>
      </c>
      <c r="I167" s="9" t="str">
        <f>TEXT(Data!$E167,"DDDD")</f>
        <v>Friday</v>
      </c>
      <c r="J167" s="9" t="s">
        <v>14</v>
      </c>
      <c r="K167" s="23">
        <f>ROUND(Data!$G167,0)</f>
        <v>3</v>
      </c>
    </row>
    <row r="168" spans="1:11" ht="14.25" customHeight="1" x14ac:dyDescent="0.3">
      <c r="A168" s="9" t="s">
        <v>202</v>
      </c>
      <c r="B168" s="9" t="s">
        <v>18</v>
      </c>
      <c r="C168" s="2">
        <v>28</v>
      </c>
      <c r="D168" s="12" t="s">
        <v>35</v>
      </c>
      <c r="E168" s="3">
        <v>44988</v>
      </c>
      <c r="F168" s="15">
        <v>84</v>
      </c>
      <c r="G168" s="18">
        <v>3.2</v>
      </c>
      <c r="H168" s="9">
        <f>IF(MONTH(Data!$E168)&lt;=6, YEAR(Data!$E168), YEAR(Data!$E168)+1)</f>
        <v>2023</v>
      </c>
      <c r="I168" s="9" t="str">
        <f>TEXT(Data!$E168,"DDDD")</f>
        <v>Friday</v>
      </c>
      <c r="J168" s="9" t="s">
        <v>47</v>
      </c>
      <c r="K168" s="23">
        <f>ROUND(Data!$G168,0)</f>
        <v>3</v>
      </c>
    </row>
    <row r="169" spans="1:11" ht="14.25" customHeight="1" x14ac:dyDescent="0.3">
      <c r="A169" s="9" t="s">
        <v>203</v>
      </c>
      <c r="B169" s="9" t="s">
        <v>23</v>
      </c>
      <c r="C169" s="2">
        <v>139</v>
      </c>
      <c r="D169" s="12" t="s">
        <v>19</v>
      </c>
      <c r="E169" s="3">
        <v>44989</v>
      </c>
      <c r="F169" s="15">
        <v>88</v>
      </c>
      <c r="G169" s="18">
        <v>3.4</v>
      </c>
      <c r="H169" s="9">
        <f>IF(MONTH(Data!$E169)&lt;=6, YEAR(Data!$E169), YEAR(Data!$E169)+1)</f>
        <v>2023</v>
      </c>
      <c r="I169" s="9" t="str">
        <f>TEXT(Data!$E169,"DDDD")</f>
        <v>Saturday</v>
      </c>
      <c r="J169" s="9" t="s">
        <v>25</v>
      </c>
      <c r="K169" s="23">
        <f>ROUND(Data!$G169,0)</f>
        <v>3</v>
      </c>
    </row>
    <row r="170" spans="1:11" ht="14.25" customHeight="1" x14ac:dyDescent="0.3">
      <c r="A170" s="9" t="s">
        <v>204</v>
      </c>
      <c r="B170" s="9" t="s">
        <v>50</v>
      </c>
      <c r="C170" s="2">
        <v>82</v>
      </c>
      <c r="D170" s="12" t="s">
        <v>24</v>
      </c>
      <c r="E170" s="3">
        <v>44989</v>
      </c>
      <c r="F170" s="15">
        <v>93</v>
      </c>
      <c r="G170" s="18">
        <v>2.7</v>
      </c>
      <c r="H170" s="9">
        <f>IF(MONTH(Data!$E170)&lt;=6, YEAR(Data!$E170), YEAR(Data!$E170)+1)</f>
        <v>2023</v>
      </c>
      <c r="I170" s="9" t="str">
        <f>TEXT(Data!$E170,"DDDD")</f>
        <v>Saturday</v>
      </c>
      <c r="J170" s="9" t="s">
        <v>14</v>
      </c>
      <c r="K170" s="23">
        <f>ROUND(Data!$G170,0)</f>
        <v>3</v>
      </c>
    </row>
    <row r="171" spans="1:11" ht="14.25" customHeight="1" x14ac:dyDescent="0.3">
      <c r="A171" s="9" t="s">
        <v>205</v>
      </c>
      <c r="B171" s="9" t="s">
        <v>16</v>
      </c>
      <c r="C171" s="2">
        <v>101</v>
      </c>
      <c r="D171" s="12" t="s">
        <v>35</v>
      </c>
      <c r="E171" s="3">
        <v>44989</v>
      </c>
      <c r="F171" s="15">
        <v>128</v>
      </c>
      <c r="G171" s="18">
        <v>5</v>
      </c>
      <c r="H171" s="9">
        <f>IF(MONTH(Data!$E171)&lt;=6, YEAR(Data!$E171), YEAR(Data!$E171)+1)</f>
        <v>2023</v>
      </c>
      <c r="I171" s="9" t="str">
        <f>TEXT(Data!$E171,"DDDD")</f>
        <v>Saturday</v>
      </c>
      <c r="J171" s="9" t="s">
        <v>14</v>
      </c>
      <c r="K171" s="23">
        <f>ROUND(Data!$G171,0)</f>
        <v>5</v>
      </c>
    </row>
    <row r="172" spans="1:11" ht="14.25" customHeight="1" x14ac:dyDescent="0.3">
      <c r="A172" s="9" t="s">
        <v>206</v>
      </c>
      <c r="B172" s="9" t="s">
        <v>18</v>
      </c>
      <c r="C172" s="2">
        <v>75</v>
      </c>
      <c r="D172" s="12" t="s">
        <v>31</v>
      </c>
      <c r="E172" s="3">
        <v>44989</v>
      </c>
      <c r="F172" s="15">
        <v>40</v>
      </c>
      <c r="G172" s="18">
        <v>3.4</v>
      </c>
      <c r="H172" s="9">
        <f>IF(MONTH(Data!$E172)&lt;=6, YEAR(Data!$E172), YEAR(Data!$E172)+1)</f>
        <v>2023</v>
      </c>
      <c r="I172" s="9" t="str">
        <f>TEXT(Data!$E172,"DDDD")</f>
        <v>Saturday</v>
      </c>
      <c r="J172" s="9" t="s">
        <v>14</v>
      </c>
      <c r="K172" s="23">
        <f>ROUND(Data!$G172,0)</f>
        <v>3</v>
      </c>
    </row>
    <row r="173" spans="1:11" ht="14.25" customHeight="1" x14ac:dyDescent="0.3">
      <c r="A173" s="9" t="s">
        <v>207</v>
      </c>
      <c r="B173" s="9" t="s">
        <v>34</v>
      </c>
      <c r="C173" s="2">
        <v>40</v>
      </c>
      <c r="D173" s="12" t="s">
        <v>35</v>
      </c>
      <c r="E173" s="3">
        <v>44990</v>
      </c>
      <c r="F173" s="15">
        <v>92</v>
      </c>
      <c r="G173" s="18">
        <v>4.7</v>
      </c>
      <c r="H173" s="9">
        <f>IF(MONTH(Data!$E173)&lt;=6, YEAR(Data!$E173), YEAR(Data!$E173)+1)</f>
        <v>2023</v>
      </c>
      <c r="I173" s="9" t="str">
        <f>TEXT(Data!$E173,"DDDD")</f>
        <v>Sunday</v>
      </c>
      <c r="J173" s="9" t="s">
        <v>27</v>
      </c>
      <c r="K173" s="23">
        <f>ROUND(Data!$G173,0)</f>
        <v>5</v>
      </c>
    </row>
    <row r="174" spans="1:11" ht="14.25" customHeight="1" x14ac:dyDescent="0.3">
      <c r="A174" s="9" t="s">
        <v>208</v>
      </c>
      <c r="B174" s="9" t="s">
        <v>40</v>
      </c>
      <c r="C174" s="2">
        <v>86</v>
      </c>
      <c r="D174" s="12" t="s">
        <v>19</v>
      </c>
      <c r="E174" s="3">
        <v>44990</v>
      </c>
      <c r="F174" s="15">
        <v>27</v>
      </c>
      <c r="G174" s="18">
        <v>4.5</v>
      </c>
      <c r="H174" s="9">
        <f>IF(MONTH(Data!$E174)&lt;=6, YEAR(Data!$E174), YEAR(Data!$E174)+1)</f>
        <v>2023</v>
      </c>
      <c r="I174" s="9" t="str">
        <f>TEXT(Data!$E174,"DDDD")</f>
        <v>Sunday</v>
      </c>
      <c r="J174" s="9" t="s">
        <v>14</v>
      </c>
      <c r="K174" s="23">
        <f>ROUND(Data!$G174,0)</f>
        <v>5</v>
      </c>
    </row>
    <row r="175" spans="1:11" ht="14.25" customHeight="1" x14ac:dyDescent="0.3">
      <c r="A175" s="9" t="s">
        <v>209</v>
      </c>
      <c r="B175" s="9" t="s">
        <v>29</v>
      </c>
      <c r="C175" s="2">
        <v>131</v>
      </c>
      <c r="D175" s="12" t="s">
        <v>13</v>
      </c>
      <c r="E175" s="3">
        <v>44990</v>
      </c>
      <c r="F175" s="15">
        <v>140</v>
      </c>
      <c r="G175" s="18">
        <v>4.0999999999999996</v>
      </c>
      <c r="H175" s="9">
        <f>IF(MONTH(Data!$E175)&lt;=6, YEAR(Data!$E175), YEAR(Data!$E175)+1)</f>
        <v>2023</v>
      </c>
      <c r="I175" s="9" t="str">
        <f>TEXT(Data!$E175,"DDDD")</f>
        <v>Sunday</v>
      </c>
      <c r="J175" s="9" t="s">
        <v>25</v>
      </c>
      <c r="K175" s="23">
        <f>ROUND(Data!$G175,0)</f>
        <v>4</v>
      </c>
    </row>
    <row r="176" spans="1:11" ht="14.25" customHeight="1" x14ac:dyDescent="0.3">
      <c r="A176" s="9" t="s">
        <v>210</v>
      </c>
      <c r="B176" s="9" t="s">
        <v>58</v>
      </c>
      <c r="C176" s="2">
        <v>67</v>
      </c>
      <c r="D176" s="12" t="s">
        <v>24</v>
      </c>
      <c r="E176" s="3">
        <v>44990</v>
      </c>
      <c r="F176" s="15">
        <v>40</v>
      </c>
      <c r="G176" s="18">
        <v>5</v>
      </c>
      <c r="H176" s="9">
        <f>IF(MONTH(Data!$E176)&lt;=6, YEAR(Data!$E176), YEAR(Data!$E176)+1)</f>
        <v>2023</v>
      </c>
      <c r="I176" s="9" t="str">
        <f>TEXT(Data!$E176,"DDDD")</f>
        <v>Sunday</v>
      </c>
      <c r="J176" s="9" t="s">
        <v>14</v>
      </c>
      <c r="K176" s="23">
        <f>ROUND(Data!$G176,0)</f>
        <v>5</v>
      </c>
    </row>
    <row r="177" spans="1:11" ht="14.25" customHeight="1" x14ac:dyDescent="0.3">
      <c r="A177" s="9" t="s">
        <v>211</v>
      </c>
      <c r="B177" s="9" t="s">
        <v>88</v>
      </c>
      <c r="C177" s="2">
        <v>71</v>
      </c>
      <c r="D177" s="12" t="s">
        <v>35</v>
      </c>
      <c r="E177" s="3">
        <v>44990</v>
      </c>
      <c r="F177" s="15">
        <v>102</v>
      </c>
      <c r="G177" s="18">
        <v>4.7</v>
      </c>
      <c r="H177" s="9">
        <f>IF(MONTH(Data!$E177)&lt;=6, YEAR(Data!$E177), YEAR(Data!$E177)+1)</f>
        <v>2023</v>
      </c>
      <c r="I177" s="9" t="str">
        <f>TEXT(Data!$E177,"DDDD")</f>
        <v>Sunday</v>
      </c>
      <c r="J177" s="9" t="s">
        <v>14</v>
      </c>
      <c r="K177" s="23">
        <f>ROUND(Data!$G177,0)</f>
        <v>5</v>
      </c>
    </row>
    <row r="178" spans="1:11" ht="14.25" customHeight="1" x14ac:dyDescent="0.3">
      <c r="A178" s="9" t="s">
        <v>212</v>
      </c>
      <c r="B178" s="9" t="s">
        <v>29</v>
      </c>
      <c r="C178" s="2">
        <v>113</v>
      </c>
      <c r="D178" s="12" t="s">
        <v>13</v>
      </c>
      <c r="E178" s="3">
        <v>44990</v>
      </c>
      <c r="F178" s="15">
        <v>42</v>
      </c>
      <c r="G178" s="18">
        <v>4.2</v>
      </c>
      <c r="H178" s="9">
        <f>IF(MONTH(Data!$E178)&lt;=6, YEAR(Data!$E178), YEAR(Data!$E178)+1)</f>
        <v>2023</v>
      </c>
      <c r="I178" s="9" t="str">
        <f>TEXT(Data!$E178,"DDDD")</f>
        <v>Sunday</v>
      </c>
      <c r="J178" s="9" t="s">
        <v>14</v>
      </c>
      <c r="K178" s="23">
        <f>ROUND(Data!$G178,0)</f>
        <v>4</v>
      </c>
    </row>
    <row r="179" spans="1:11" ht="14.25" customHeight="1" x14ac:dyDescent="0.3">
      <c r="A179" s="9" t="s">
        <v>213</v>
      </c>
      <c r="B179" s="9" t="s">
        <v>50</v>
      </c>
      <c r="C179" s="2">
        <v>53</v>
      </c>
      <c r="D179" s="12" t="s">
        <v>19</v>
      </c>
      <c r="E179" s="3">
        <v>44991</v>
      </c>
      <c r="F179" s="15">
        <v>210</v>
      </c>
      <c r="G179" s="18">
        <v>3.9</v>
      </c>
      <c r="H179" s="9">
        <f>IF(MONTH(Data!$E179)&lt;=6, YEAR(Data!$E179), YEAR(Data!$E179)+1)</f>
        <v>2023</v>
      </c>
      <c r="I179" s="9" t="str">
        <f>TEXT(Data!$E179,"DDDD")</f>
        <v>Monday</v>
      </c>
      <c r="J179" s="9" t="s">
        <v>27</v>
      </c>
      <c r="K179" s="23">
        <f>ROUND(Data!$G179,0)</f>
        <v>4</v>
      </c>
    </row>
    <row r="180" spans="1:11" ht="14.25" customHeight="1" x14ac:dyDescent="0.3">
      <c r="A180" s="9" t="s">
        <v>214</v>
      </c>
      <c r="B180" s="9" t="s">
        <v>29</v>
      </c>
      <c r="C180" s="2">
        <v>153</v>
      </c>
      <c r="D180" s="12" t="s">
        <v>24</v>
      </c>
      <c r="E180" s="3">
        <v>44991</v>
      </c>
      <c r="F180" s="15">
        <v>34</v>
      </c>
      <c r="G180" s="18">
        <v>3</v>
      </c>
      <c r="H180" s="9">
        <f>IF(MONTH(Data!$E180)&lt;=6, YEAR(Data!$E180), YEAR(Data!$E180)+1)</f>
        <v>2023</v>
      </c>
      <c r="I180" s="9" t="str">
        <f>TEXT(Data!$E180,"DDDD")</f>
        <v>Monday</v>
      </c>
      <c r="J180" s="9" t="s">
        <v>25</v>
      </c>
      <c r="K180" s="23">
        <f>ROUND(Data!$G180,0)</f>
        <v>3</v>
      </c>
    </row>
    <row r="181" spans="1:11" ht="14.25" customHeight="1" x14ac:dyDescent="0.3">
      <c r="A181" s="9" t="s">
        <v>215</v>
      </c>
      <c r="B181" s="9" t="s">
        <v>58</v>
      </c>
      <c r="C181" s="2">
        <v>73</v>
      </c>
      <c r="D181" s="12" t="s">
        <v>31</v>
      </c>
      <c r="E181" s="3">
        <v>44991</v>
      </c>
      <c r="F181" s="15">
        <v>215</v>
      </c>
      <c r="G181" s="18">
        <v>3.6</v>
      </c>
      <c r="H181" s="9">
        <f>IF(MONTH(Data!$E181)&lt;=6, YEAR(Data!$E181), YEAR(Data!$E181)+1)</f>
        <v>2023</v>
      </c>
      <c r="I181" s="9" t="str">
        <f>TEXT(Data!$E181,"DDDD")</f>
        <v>Monday</v>
      </c>
      <c r="J181" s="9" t="s">
        <v>14</v>
      </c>
      <c r="K181" s="23">
        <f>ROUND(Data!$G181,0)</f>
        <v>4</v>
      </c>
    </row>
    <row r="182" spans="1:11" ht="14.25" customHeight="1" x14ac:dyDescent="0.3">
      <c r="A182" s="9" t="s">
        <v>216</v>
      </c>
      <c r="B182" s="9" t="s">
        <v>46</v>
      </c>
      <c r="C182" s="2">
        <v>62</v>
      </c>
      <c r="D182" s="12" t="s">
        <v>31</v>
      </c>
      <c r="E182" s="3">
        <v>44991</v>
      </c>
      <c r="F182" s="15">
        <v>32</v>
      </c>
      <c r="G182" s="18">
        <v>0.7</v>
      </c>
      <c r="H182" s="9">
        <f>IF(MONTH(Data!$E182)&lt;=6, YEAR(Data!$E182), YEAR(Data!$E182)+1)</f>
        <v>2023</v>
      </c>
      <c r="I182" s="9" t="str">
        <f>TEXT(Data!$E182,"DDDD")</f>
        <v>Monday</v>
      </c>
      <c r="J182" s="9" t="s">
        <v>14</v>
      </c>
      <c r="K182" s="23">
        <f>ROUND(Data!$G182,0)</f>
        <v>1</v>
      </c>
    </row>
    <row r="183" spans="1:11" ht="14.25" customHeight="1" x14ac:dyDescent="0.3">
      <c r="A183" s="9" t="s">
        <v>217</v>
      </c>
      <c r="B183" s="9" t="s">
        <v>23</v>
      </c>
      <c r="C183" s="2">
        <v>115</v>
      </c>
      <c r="D183" s="12" t="s">
        <v>19</v>
      </c>
      <c r="E183" s="3">
        <v>44992</v>
      </c>
      <c r="F183" s="15">
        <v>48</v>
      </c>
      <c r="G183" s="18">
        <v>4.7</v>
      </c>
      <c r="H183" s="9">
        <f>IF(MONTH(Data!$E183)&lt;=6, YEAR(Data!$E183), YEAR(Data!$E183)+1)</f>
        <v>2023</v>
      </c>
      <c r="I183" s="9" t="str">
        <f>TEXT(Data!$E183,"DDDD")</f>
        <v>Tuesday</v>
      </c>
      <c r="J183" s="9" t="s">
        <v>14</v>
      </c>
      <c r="K183" s="23">
        <f>ROUND(Data!$G183,0)</f>
        <v>5</v>
      </c>
    </row>
    <row r="184" spans="1:11" ht="14.25" customHeight="1" x14ac:dyDescent="0.3">
      <c r="A184" s="9" t="s">
        <v>218</v>
      </c>
      <c r="B184" s="9" t="s">
        <v>29</v>
      </c>
      <c r="C184" s="2">
        <v>69</v>
      </c>
      <c r="D184" s="12" t="s">
        <v>19</v>
      </c>
      <c r="E184" s="3">
        <v>44992</v>
      </c>
      <c r="F184" s="15">
        <v>132</v>
      </c>
      <c r="G184" s="18">
        <v>4.5</v>
      </c>
      <c r="H184" s="9">
        <f>IF(MONTH(Data!$E184)&lt;=6, YEAR(Data!$E184), YEAR(Data!$E184)+1)</f>
        <v>2023</v>
      </c>
      <c r="I184" s="9" t="str">
        <f>TEXT(Data!$E184,"DDDD")</f>
        <v>Tuesday</v>
      </c>
      <c r="J184" s="9" t="s">
        <v>14</v>
      </c>
      <c r="K184" s="23">
        <f>ROUND(Data!$G184,0)</f>
        <v>5</v>
      </c>
    </row>
    <row r="185" spans="1:11" ht="14.25" customHeight="1" x14ac:dyDescent="0.3">
      <c r="A185" s="9" t="s">
        <v>219</v>
      </c>
      <c r="B185" s="9" t="s">
        <v>40</v>
      </c>
      <c r="C185" s="2">
        <v>103</v>
      </c>
      <c r="D185" s="12" t="s">
        <v>13</v>
      </c>
      <c r="E185" s="3">
        <v>44992</v>
      </c>
      <c r="F185" s="15">
        <v>172</v>
      </c>
      <c r="G185" s="18">
        <v>4.3</v>
      </c>
      <c r="H185" s="9">
        <f>IF(MONTH(Data!$E185)&lt;=6, YEAR(Data!$E185), YEAR(Data!$E185)+1)</f>
        <v>2023</v>
      </c>
      <c r="I185" s="9" t="str">
        <f>TEXT(Data!$E185,"DDDD")</f>
        <v>Tuesday</v>
      </c>
      <c r="J185" s="9" t="s">
        <v>14</v>
      </c>
      <c r="K185" s="23">
        <f>ROUND(Data!$G185,0)</f>
        <v>4</v>
      </c>
    </row>
    <row r="186" spans="1:11" ht="14.25" customHeight="1" x14ac:dyDescent="0.3">
      <c r="A186" s="9" t="s">
        <v>220</v>
      </c>
      <c r="B186" s="9" t="s">
        <v>40</v>
      </c>
      <c r="C186" s="2">
        <v>75</v>
      </c>
      <c r="D186" s="12" t="s">
        <v>13</v>
      </c>
      <c r="E186" s="3">
        <v>44992</v>
      </c>
      <c r="F186" s="15">
        <v>111</v>
      </c>
      <c r="G186" s="18">
        <v>3.4</v>
      </c>
      <c r="H186" s="9">
        <f>IF(MONTH(Data!$E186)&lt;=6, YEAR(Data!$E186), YEAR(Data!$E186)+1)</f>
        <v>2023</v>
      </c>
      <c r="I186" s="9" t="str">
        <f>TEXT(Data!$E186,"DDDD")</f>
        <v>Tuesday</v>
      </c>
      <c r="J186" s="9" t="s">
        <v>14</v>
      </c>
      <c r="K186" s="23">
        <f>ROUND(Data!$G186,0)</f>
        <v>3</v>
      </c>
    </row>
    <row r="187" spans="1:11" ht="14.25" customHeight="1" x14ac:dyDescent="0.3">
      <c r="A187" s="9" t="s">
        <v>221</v>
      </c>
      <c r="B187" s="9" t="s">
        <v>38</v>
      </c>
      <c r="C187" s="2">
        <v>92</v>
      </c>
      <c r="D187" s="12" t="s">
        <v>13</v>
      </c>
      <c r="E187" s="3">
        <v>44992</v>
      </c>
      <c r="F187" s="15">
        <v>58</v>
      </c>
      <c r="G187" s="18">
        <v>3.6</v>
      </c>
      <c r="H187" s="9">
        <f>IF(MONTH(Data!$E187)&lt;=6, YEAR(Data!$E187), YEAR(Data!$E187)+1)</f>
        <v>2023</v>
      </c>
      <c r="I187" s="9" t="str">
        <f>TEXT(Data!$E187,"DDDD")</f>
        <v>Tuesday</v>
      </c>
      <c r="J187" s="9" t="s">
        <v>14</v>
      </c>
      <c r="K187" s="23">
        <f>ROUND(Data!$G187,0)</f>
        <v>4</v>
      </c>
    </row>
    <row r="188" spans="1:11" ht="14.25" customHeight="1" x14ac:dyDescent="0.3">
      <c r="A188" s="9" t="s">
        <v>222</v>
      </c>
      <c r="B188" s="9" t="s">
        <v>38</v>
      </c>
      <c r="C188" s="2">
        <v>41</v>
      </c>
      <c r="D188" s="12" t="s">
        <v>31</v>
      </c>
      <c r="E188" s="3">
        <v>44992</v>
      </c>
      <c r="F188" s="15">
        <v>68</v>
      </c>
      <c r="G188" s="18">
        <v>4</v>
      </c>
      <c r="H188" s="9">
        <f>IF(MONTH(Data!$E188)&lt;=6, YEAR(Data!$E188), YEAR(Data!$E188)+1)</f>
        <v>2023</v>
      </c>
      <c r="I188" s="9" t="str">
        <f>TEXT(Data!$E188,"DDDD")</f>
        <v>Tuesday</v>
      </c>
      <c r="J188" s="9" t="s">
        <v>27</v>
      </c>
      <c r="K188" s="23">
        <f>ROUND(Data!$G188,0)</f>
        <v>4</v>
      </c>
    </row>
    <row r="189" spans="1:11" ht="14.25" customHeight="1" x14ac:dyDescent="0.3">
      <c r="A189" s="9" t="s">
        <v>223</v>
      </c>
      <c r="B189" s="9" t="s">
        <v>40</v>
      </c>
      <c r="C189" s="2">
        <v>134</v>
      </c>
      <c r="D189" s="12" t="s">
        <v>24</v>
      </c>
      <c r="E189" s="3">
        <v>44992</v>
      </c>
      <c r="F189" s="15">
        <v>160</v>
      </c>
      <c r="G189" s="18">
        <v>4.5</v>
      </c>
      <c r="H189" s="9">
        <f>IF(MONTH(Data!$E189)&lt;=6, YEAR(Data!$E189), YEAR(Data!$E189)+1)</f>
        <v>2023</v>
      </c>
      <c r="I189" s="9" t="str">
        <f>TEXT(Data!$E189,"DDDD")</f>
        <v>Tuesday</v>
      </c>
      <c r="J189" s="9" t="s">
        <v>25</v>
      </c>
      <c r="K189" s="23">
        <f>ROUND(Data!$G189,0)</f>
        <v>5</v>
      </c>
    </row>
    <row r="190" spans="1:11" ht="14.25" customHeight="1" x14ac:dyDescent="0.3">
      <c r="A190" s="9" t="s">
        <v>224</v>
      </c>
      <c r="B190" s="9" t="s">
        <v>68</v>
      </c>
      <c r="C190" s="2">
        <v>80</v>
      </c>
      <c r="D190" s="12" t="s">
        <v>35</v>
      </c>
      <c r="E190" s="3">
        <v>44992</v>
      </c>
      <c r="F190" s="15">
        <v>45</v>
      </c>
      <c r="G190" s="18">
        <v>3</v>
      </c>
      <c r="H190" s="9">
        <f>IF(MONTH(Data!$E190)&lt;=6, YEAR(Data!$E190), YEAR(Data!$E190)+1)</f>
        <v>2023</v>
      </c>
      <c r="I190" s="9" t="str">
        <f>TEXT(Data!$E190,"DDDD")</f>
        <v>Tuesday</v>
      </c>
      <c r="J190" s="9" t="s">
        <v>14</v>
      </c>
      <c r="K190" s="23">
        <f>ROUND(Data!$G190,0)</f>
        <v>3</v>
      </c>
    </row>
    <row r="191" spans="1:11" ht="14.25" customHeight="1" x14ac:dyDescent="0.3">
      <c r="A191" s="9" t="s">
        <v>225</v>
      </c>
      <c r="B191" s="9" t="s">
        <v>88</v>
      </c>
      <c r="C191" s="2">
        <v>103</v>
      </c>
      <c r="D191" s="12" t="s">
        <v>19</v>
      </c>
      <c r="E191" s="3">
        <v>44993</v>
      </c>
      <c r="F191" s="15">
        <v>117</v>
      </c>
      <c r="G191" s="18">
        <v>3</v>
      </c>
      <c r="H191" s="9">
        <f>IF(MONTH(Data!$E191)&lt;=6, YEAR(Data!$E191), YEAR(Data!$E191)+1)</f>
        <v>2023</v>
      </c>
      <c r="I191" s="9" t="str">
        <f>TEXT(Data!$E191,"DDDD")</f>
        <v>Wednesday</v>
      </c>
      <c r="J191" s="9" t="s">
        <v>14</v>
      </c>
      <c r="K191" s="23">
        <f>ROUND(Data!$G191,0)</f>
        <v>3</v>
      </c>
    </row>
    <row r="192" spans="1:11" ht="14.25" customHeight="1" x14ac:dyDescent="0.3">
      <c r="A192" s="9" t="s">
        <v>226</v>
      </c>
      <c r="B192" s="9" t="s">
        <v>50</v>
      </c>
      <c r="C192" s="2">
        <v>20</v>
      </c>
      <c r="D192" s="12" t="s">
        <v>13</v>
      </c>
      <c r="E192" s="3">
        <v>44994</v>
      </c>
      <c r="F192" s="15">
        <v>22</v>
      </c>
      <c r="G192" s="18">
        <v>1.6</v>
      </c>
      <c r="H192" s="9">
        <f>IF(MONTH(Data!$E192)&lt;=6, YEAR(Data!$E192), YEAR(Data!$E192)+1)</f>
        <v>2023</v>
      </c>
      <c r="I192" s="9" t="str">
        <f>TEXT(Data!$E192,"DDDD")</f>
        <v>Thursday</v>
      </c>
      <c r="J192" s="9" t="s">
        <v>47</v>
      </c>
      <c r="K192" s="23">
        <f>ROUND(Data!$G192,0)</f>
        <v>2</v>
      </c>
    </row>
    <row r="193" spans="1:11" ht="14.25" customHeight="1" x14ac:dyDescent="0.3">
      <c r="A193" s="9" t="s">
        <v>227</v>
      </c>
      <c r="B193" s="9" t="s">
        <v>88</v>
      </c>
      <c r="C193" s="2">
        <v>75</v>
      </c>
      <c r="D193" s="12" t="s">
        <v>35</v>
      </c>
      <c r="E193" s="3">
        <v>44994</v>
      </c>
      <c r="F193" s="15">
        <v>195</v>
      </c>
      <c r="G193" s="18">
        <v>3</v>
      </c>
      <c r="H193" s="9">
        <f>IF(MONTH(Data!$E193)&lt;=6, YEAR(Data!$E193), YEAR(Data!$E193)+1)</f>
        <v>2023</v>
      </c>
      <c r="I193" s="9" t="str">
        <f>TEXT(Data!$E193,"DDDD")</f>
        <v>Thursday</v>
      </c>
      <c r="J193" s="9" t="s">
        <v>14</v>
      </c>
      <c r="K193" s="23">
        <f>ROUND(Data!$G193,0)</f>
        <v>3</v>
      </c>
    </row>
    <row r="194" spans="1:11" ht="14.25" customHeight="1" x14ac:dyDescent="0.3">
      <c r="A194" s="9" t="s">
        <v>228</v>
      </c>
      <c r="B194" s="9" t="s">
        <v>38</v>
      </c>
      <c r="C194" s="2">
        <v>80</v>
      </c>
      <c r="D194" s="12" t="s">
        <v>24</v>
      </c>
      <c r="E194" s="3">
        <v>44994</v>
      </c>
      <c r="F194" s="15">
        <v>168</v>
      </c>
      <c r="G194" s="18">
        <v>3.7</v>
      </c>
      <c r="H194" s="9">
        <f>IF(MONTH(Data!$E194)&lt;=6, YEAR(Data!$E194), YEAR(Data!$E194)+1)</f>
        <v>2023</v>
      </c>
      <c r="I194" s="9" t="str">
        <f>TEXT(Data!$E194,"DDDD")</f>
        <v>Thursday</v>
      </c>
      <c r="J194" s="9" t="s">
        <v>14</v>
      </c>
      <c r="K194" s="23">
        <f>ROUND(Data!$G194,0)</f>
        <v>4</v>
      </c>
    </row>
    <row r="195" spans="1:11" ht="14.25" customHeight="1" x14ac:dyDescent="0.3">
      <c r="A195" s="9" t="s">
        <v>229</v>
      </c>
      <c r="B195" s="9" t="s">
        <v>29</v>
      </c>
      <c r="C195" s="2">
        <v>85</v>
      </c>
      <c r="D195" s="12" t="s">
        <v>31</v>
      </c>
      <c r="E195" s="3">
        <v>44995</v>
      </c>
      <c r="F195" s="15">
        <v>46</v>
      </c>
      <c r="G195" s="18">
        <v>4.9000000000000004</v>
      </c>
      <c r="H195" s="9">
        <f>IF(MONTH(Data!$E195)&lt;=6, YEAR(Data!$E195), YEAR(Data!$E195)+1)</f>
        <v>2023</v>
      </c>
      <c r="I195" s="9" t="str">
        <f>TEXT(Data!$E195,"DDDD")</f>
        <v>Friday</v>
      </c>
      <c r="J195" s="9" t="s">
        <v>14</v>
      </c>
      <c r="K195" s="23">
        <f>ROUND(Data!$G195,0)</f>
        <v>5</v>
      </c>
    </row>
    <row r="196" spans="1:11" ht="14.25" customHeight="1" x14ac:dyDescent="0.3">
      <c r="A196" s="9" t="s">
        <v>230</v>
      </c>
      <c r="B196" s="9" t="s">
        <v>16</v>
      </c>
      <c r="C196" s="2">
        <v>155</v>
      </c>
      <c r="D196" s="12" t="s">
        <v>13</v>
      </c>
      <c r="E196" s="3">
        <v>44995</v>
      </c>
      <c r="F196" s="15">
        <v>164</v>
      </c>
      <c r="G196" s="18">
        <v>3.4</v>
      </c>
      <c r="H196" s="9">
        <f>IF(MONTH(Data!$E196)&lt;=6, YEAR(Data!$E196), YEAR(Data!$E196)+1)</f>
        <v>2023</v>
      </c>
      <c r="I196" s="9" t="str">
        <f>TEXT(Data!$E196,"DDDD")</f>
        <v>Friday</v>
      </c>
      <c r="J196" s="9" t="s">
        <v>25</v>
      </c>
      <c r="K196" s="23">
        <f>ROUND(Data!$G196,0)</f>
        <v>3</v>
      </c>
    </row>
    <row r="197" spans="1:11" ht="14.25" customHeight="1" x14ac:dyDescent="0.3">
      <c r="A197" s="9" t="s">
        <v>231</v>
      </c>
      <c r="B197" s="9" t="s">
        <v>29</v>
      </c>
      <c r="C197" s="2">
        <v>63</v>
      </c>
      <c r="D197" s="12" t="s">
        <v>31</v>
      </c>
      <c r="E197" s="3">
        <v>44995</v>
      </c>
      <c r="F197" s="15">
        <v>48</v>
      </c>
      <c r="G197" s="18">
        <v>5</v>
      </c>
      <c r="H197" s="9">
        <f>IF(MONTH(Data!$E197)&lt;=6, YEAR(Data!$E197), YEAR(Data!$E197)+1)</f>
        <v>2023</v>
      </c>
      <c r="I197" s="9" t="str">
        <f>TEXT(Data!$E197,"DDDD")</f>
        <v>Friday</v>
      </c>
      <c r="J197" s="9" t="s">
        <v>14</v>
      </c>
      <c r="K197" s="23">
        <f>ROUND(Data!$G197,0)</f>
        <v>5</v>
      </c>
    </row>
    <row r="198" spans="1:11" ht="14.25" customHeight="1" x14ac:dyDescent="0.3">
      <c r="A198" s="9" t="s">
        <v>232</v>
      </c>
      <c r="B198" s="9" t="s">
        <v>18</v>
      </c>
      <c r="C198" s="2">
        <v>105</v>
      </c>
      <c r="D198" s="12" t="s">
        <v>19</v>
      </c>
      <c r="E198" s="3">
        <v>44995</v>
      </c>
      <c r="F198" s="15">
        <v>96</v>
      </c>
      <c r="G198" s="18">
        <v>5</v>
      </c>
      <c r="H198" s="9">
        <f>IF(MONTH(Data!$E198)&lt;=6, YEAR(Data!$E198), YEAR(Data!$E198)+1)</f>
        <v>2023</v>
      </c>
      <c r="I198" s="9" t="str">
        <f>TEXT(Data!$E198,"DDDD")</f>
        <v>Friday</v>
      </c>
      <c r="J198" s="9" t="s">
        <v>14</v>
      </c>
      <c r="K198" s="23">
        <f>ROUND(Data!$G198,0)</f>
        <v>5</v>
      </c>
    </row>
    <row r="199" spans="1:11" ht="14.25" customHeight="1" x14ac:dyDescent="0.3">
      <c r="A199" s="9" t="s">
        <v>233</v>
      </c>
      <c r="B199" s="9" t="s">
        <v>29</v>
      </c>
      <c r="C199" s="2">
        <v>71</v>
      </c>
      <c r="D199" s="12" t="s">
        <v>31</v>
      </c>
      <c r="E199" s="3">
        <v>44995</v>
      </c>
      <c r="F199" s="15">
        <v>105</v>
      </c>
      <c r="G199" s="18">
        <v>4</v>
      </c>
      <c r="H199" s="9">
        <f>IF(MONTH(Data!$E199)&lt;=6, YEAR(Data!$E199), YEAR(Data!$E199)+1)</f>
        <v>2023</v>
      </c>
      <c r="I199" s="9" t="str">
        <f>TEXT(Data!$E199,"DDDD")</f>
        <v>Friday</v>
      </c>
      <c r="J199" s="9" t="s">
        <v>14</v>
      </c>
      <c r="K199" s="23">
        <f>ROUND(Data!$G199,0)</f>
        <v>4</v>
      </c>
    </row>
    <row r="200" spans="1:11" ht="14.25" customHeight="1" x14ac:dyDescent="0.3">
      <c r="A200" s="9" t="s">
        <v>234</v>
      </c>
      <c r="B200" s="9" t="s">
        <v>16</v>
      </c>
      <c r="C200" s="2">
        <v>100</v>
      </c>
      <c r="D200" s="12" t="s">
        <v>31</v>
      </c>
      <c r="E200" s="3">
        <v>44996</v>
      </c>
      <c r="F200" s="15">
        <v>44</v>
      </c>
      <c r="G200" s="18">
        <v>3.6</v>
      </c>
      <c r="H200" s="9">
        <f>IF(MONTH(Data!$E200)&lt;=6, YEAR(Data!$E200), YEAR(Data!$E200)+1)</f>
        <v>2023</v>
      </c>
      <c r="I200" s="9" t="str">
        <f>TEXT(Data!$E200,"DDDD")</f>
        <v>Saturday</v>
      </c>
      <c r="J200" s="9" t="s">
        <v>14</v>
      </c>
      <c r="K200" s="23">
        <f>ROUND(Data!$G200,0)</f>
        <v>4</v>
      </c>
    </row>
    <row r="201" spans="1:11" ht="14.25" customHeight="1" x14ac:dyDescent="0.3">
      <c r="A201" s="9" t="s">
        <v>235</v>
      </c>
      <c r="B201" s="9" t="s">
        <v>12</v>
      </c>
      <c r="C201" s="2">
        <v>93</v>
      </c>
      <c r="D201" s="12" t="s">
        <v>24</v>
      </c>
      <c r="E201" s="3">
        <v>44996</v>
      </c>
      <c r="F201" s="15">
        <v>132</v>
      </c>
      <c r="G201" s="18">
        <v>3.7</v>
      </c>
      <c r="H201" s="9">
        <f>IF(MONTH(Data!$E201)&lt;=6, YEAR(Data!$E201), YEAR(Data!$E201)+1)</f>
        <v>2023</v>
      </c>
      <c r="I201" s="9" t="str">
        <f>TEXT(Data!$E201,"DDDD")</f>
        <v>Saturday</v>
      </c>
      <c r="J201" s="9" t="s">
        <v>14</v>
      </c>
      <c r="K201" s="23">
        <f>ROUND(Data!$G201,0)</f>
        <v>4</v>
      </c>
    </row>
    <row r="202" spans="1:11" ht="14.25" customHeight="1" x14ac:dyDescent="0.3">
      <c r="A202" s="9" t="s">
        <v>236</v>
      </c>
      <c r="B202" s="9" t="s">
        <v>18</v>
      </c>
      <c r="C202" s="2">
        <v>84</v>
      </c>
      <c r="D202" s="12" t="s">
        <v>13</v>
      </c>
      <c r="E202" s="3">
        <v>44996</v>
      </c>
      <c r="F202" s="15">
        <v>54</v>
      </c>
      <c r="G202" s="18">
        <v>4.2</v>
      </c>
      <c r="H202" s="9">
        <f>IF(MONTH(Data!$E202)&lt;=6, YEAR(Data!$E202), YEAR(Data!$E202)+1)</f>
        <v>2023</v>
      </c>
      <c r="I202" s="9" t="str">
        <f>TEXT(Data!$E202,"DDDD")</f>
        <v>Saturday</v>
      </c>
      <c r="J202" s="9" t="s">
        <v>14</v>
      </c>
      <c r="K202" s="23">
        <f>ROUND(Data!$G202,0)</f>
        <v>4</v>
      </c>
    </row>
    <row r="203" spans="1:11" ht="14.25" customHeight="1" x14ac:dyDescent="0.3">
      <c r="A203" s="9" t="s">
        <v>237</v>
      </c>
      <c r="B203" s="9" t="s">
        <v>68</v>
      </c>
      <c r="C203" s="2">
        <v>56</v>
      </c>
      <c r="D203" s="12" t="s">
        <v>35</v>
      </c>
      <c r="E203" s="3">
        <v>44996</v>
      </c>
      <c r="F203" s="15">
        <v>129</v>
      </c>
      <c r="G203" s="18">
        <v>2.1</v>
      </c>
      <c r="H203" s="9">
        <f>IF(MONTH(Data!$E203)&lt;=6, YEAR(Data!$E203), YEAR(Data!$E203)+1)</f>
        <v>2023</v>
      </c>
      <c r="I203" s="9" t="str">
        <f>TEXT(Data!$E203,"DDDD")</f>
        <v>Saturday</v>
      </c>
      <c r="J203" s="9" t="s">
        <v>27</v>
      </c>
      <c r="K203" s="23">
        <f>ROUND(Data!$G203,0)</f>
        <v>2</v>
      </c>
    </row>
    <row r="204" spans="1:11" ht="14.25" customHeight="1" x14ac:dyDescent="0.3">
      <c r="A204" s="9" t="s">
        <v>238</v>
      </c>
      <c r="B204" s="9" t="s">
        <v>68</v>
      </c>
      <c r="C204" s="2">
        <v>63</v>
      </c>
      <c r="D204" s="12" t="s">
        <v>31</v>
      </c>
      <c r="E204" s="3">
        <v>44996</v>
      </c>
      <c r="F204" s="15">
        <v>42</v>
      </c>
      <c r="G204" s="18">
        <v>4</v>
      </c>
      <c r="H204" s="9">
        <f>IF(MONTH(Data!$E204)&lt;=6, YEAR(Data!$E204), YEAR(Data!$E204)+1)</f>
        <v>2023</v>
      </c>
      <c r="I204" s="9" t="str">
        <f>TEXT(Data!$E204,"DDDD")</f>
        <v>Saturday</v>
      </c>
      <c r="J204" s="9" t="s">
        <v>14</v>
      </c>
      <c r="K204" s="23">
        <f>ROUND(Data!$G204,0)</f>
        <v>4</v>
      </c>
    </row>
    <row r="205" spans="1:11" ht="14.25" customHeight="1" x14ac:dyDescent="0.3">
      <c r="A205" s="9" t="s">
        <v>239</v>
      </c>
      <c r="B205" s="9" t="s">
        <v>46</v>
      </c>
      <c r="C205" s="2">
        <v>83</v>
      </c>
      <c r="D205" s="12" t="s">
        <v>31</v>
      </c>
      <c r="E205" s="3">
        <v>44996</v>
      </c>
      <c r="F205" s="15">
        <v>42</v>
      </c>
      <c r="G205" s="18">
        <v>4.2</v>
      </c>
      <c r="H205" s="9">
        <f>IF(MONTH(Data!$E205)&lt;=6, YEAR(Data!$E205), YEAR(Data!$E205)+1)</f>
        <v>2023</v>
      </c>
      <c r="I205" s="9" t="str">
        <f>TEXT(Data!$E205,"DDDD")</f>
        <v>Saturday</v>
      </c>
      <c r="J205" s="9" t="s">
        <v>14</v>
      </c>
      <c r="K205" s="23">
        <f>ROUND(Data!$G205,0)</f>
        <v>4</v>
      </c>
    </row>
    <row r="206" spans="1:11" ht="14.25" customHeight="1" x14ac:dyDescent="0.3">
      <c r="A206" s="9" t="s">
        <v>240</v>
      </c>
      <c r="B206" s="9" t="s">
        <v>38</v>
      </c>
      <c r="C206" s="2">
        <v>134</v>
      </c>
      <c r="D206" s="12" t="s">
        <v>13</v>
      </c>
      <c r="E206" s="3">
        <v>44996</v>
      </c>
      <c r="F206" s="15">
        <v>180</v>
      </c>
      <c r="G206" s="18">
        <v>3.1</v>
      </c>
      <c r="H206" s="9">
        <f>IF(MONTH(Data!$E206)&lt;=6, YEAR(Data!$E206), YEAR(Data!$E206)+1)</f>
        <v>2023</v>
      </c>
      <c r="I206" s="9" t="str">
        <f>TEXT(Data!$E206,"DDDD")</f>
        <v>Saturday</v>
      </c>
      <c r="J206" s="9" t="s">
        <v>25</v>
      </c>
      <c r="K206" s="23">
        <f>ROUND(Data!$G206,0)</f>
        <v>3</v>
      </c>
    </row>
    <row r="207" spans="1:11" ht="14.25" customHeight="1" x14ac:dyDescent="0.3">
      <c r="A207" s="9" t="s">
        <v>241</v>
      </c>
      <c r="B207" s="9" t="s">
        <v>23</v>
      </c>
      <c r="C207" s="2">
        <v>73</v>
      </c>
      <c r="D207" s="12" t="s">
        <v>31</v>
      </c>
      <c r="E207" s="3">
        <v>44997</v>
      </c>
      <c r="F207" s="15">
        <v>34</v>
      </c>
      <c r="G207" s="18">
        <v>4.8</v>
      </c>
      <c r="H207" s="9">
        <f>IF(MONTH(Data!$E207)&lt;=6, YEAR(Data!$E207), YEAR(Data!$E207)+1)</f>
        <v>2023</v>
      </c>
      <c r="I207" s="9" t="str">
        <f>TEXT(Data!$E207,"DDDD")</f>
        <v>Sunday</v>
      </c>
      <c r="J207" s="9" t="s">
        <v>14</v>
      </c>
      <c r="K207" s="23">
        <f>ROUND(Data!$G207,0)</f>
        <v>5</v>
      </c>
    </row>
    <row r="208" spans="1:11" ht="14.25" customHeight="1" x14ac:dyDescent="0.3">
      <c r="A208" s="9" t="s">
        <v>242</v>
      </c>
      <c r="B208" s="9" t="s">
        <v>88</v>
      </c>
      <c r="C208" s="2">
        <v>6</v>
      </c>
      <c r="D208" s="12" t="s">
        <v>35</v>
      </c>
      <c r="E208" s="3">
        <v>44997</v>
      </c>
      <c r="F208" s="15">
        <v>29</v>
      </c>
      <c r="G208" s="18">
        <v>4.7</v>
      </c>
      <c r="H208" s="9">
        <f>IF(MONTH(Data!$E208)&lt;=6, YEAR(Data!$E208), YEAR(Data!$E208)+1)</f>
        <v>2023</v>
      </c>
      <c r="I208" s="9" t="str">
        <f>TEXT(Data!$E208,"DDDD")</f>
        <v>Sunday</v>
      </c>
      <c r="J208" s="9" t="s">
        <v>176</v>
      </c>
      <c r="K208" s="23">
        <f>ROUND(Data!$G208,0)</f>
        <v>5</v>
      </c>
    </row>
    <row r="209" spans="1:11" ht="14.25" customHeight="1" x14ac:dyDescent="0.3">
      <c r="A209" s="9" t="s">
        <v>243</v>
      </c>
      <c r="B209" s="9" t="s">
        <v>58</v>
      </c>
      <c r="C209" s="2">
        <v>46</v>
      </c>
      <c r="D209" s="12" t="s">
        <v>19</v>
      </c>
      <c r="E209" s="3">
        <v>44997</v>
      </c>
      <c r="F209" s="15">
        <v>165</v>
      </c>
      <c r="G209" s="18">
        <v>3.3</v>
      </c>
      <c r="H209" s="9">
        <f>IF(MONTH(Data!$E209)&lt;=6, YEAR(Data!$E209), YEAR(Data!$E209)+1)</f>
        <v>2023</v>
      </c>
      <c r="I209" s="9" t="str">
        <f>TEXT(Data!$E209,"DDDD")</f>
        <v>Sunday</v>
      </c>
      <c r="J209" s="9" t="s">
        <v>27</v>
      </c>
      <c r="K209" s="23">
        <f>ROUND(Data!$G209,0)</f>
        <v>3</v>
      </c>
    </row>
    <row r="210" spans="1:11" ht="14.25" customHeight="1" x14ac:dyDescent="0.3">
      <c r="A210" s="9" t="s">
        <v>244</v>
      </c>
      <c r="B210" s="9" t="s">
        <v>88</v>
      </c>
      <c r="C210" s="2">
        <v>121</v>
      </c>
      <c r="D210" s="12" t="s">
        <v>31</v>
      </c>
      <c r="E210" s="3">
        <v>44998</v>
      </c>
      <c r="F210" s="15">
        <v>32</v>
      </c>
      <c r="G210" s="18">
        <v>3.7</v>
      </c>
      <c r="H210" s="9">
        <f>IF(MONTH(Data!$E210)&lt;=6, YEAR(Data!$E210), YEAR(Data!$E210)+1)</f>
        <v>2023</v>
      </c>
      <c r="I210" s="9" t="str">
        <f>TEXT(Data!$E210,"DDDD")</f>
        <v>Monday</v>
      </c>
      <c r="J210" s="9" t="s">
        <v>25</v>
      </c>
      <c r="K210" s="23">
        <f>ROUND(Data!$G210,0)</f>
        <v>4</v>
      </c>
    </row>
    <row r="211" spans="1:11" ht="14.25" customHeight="1" x14ac:dyDescent="0.3">
      <c r="A211" s="9" t="s">
        <v>245</v>
      </c>
      <c r="B211" s="9" t="s">
        <v>68</v>
      </c>
      <c r="C211" s="2">
        <v>61</v>
      </c>
      <c r="D211" s="12" t="s">
        <v>24</v>
      </c>
      <c r="E211" s="3">
        <v>44998</v>
      </c>
      <c r="F211" s="15">
        <v>160</v>
      </c>
      <c r="G211" s="18">
        <v>4.9000000000000004</v>
      </c>
      <c r="H211" s="9">
        <f>IF(MONTH(Data!$E211)&lt;=6, YEAR(Data!$E211), YEAR(Data!$E211)+1)</f>
        <v>2023</v>
      </c>
      <c r="I211" s="9" t="str">
        <f>TEXT(Data!$E211,"DDDD")</f>
        <v>Monday</v>
      </c>
      <c r="J211" s="9" t="s">
        <v>14</v>
      </c>
      <c r="K211" s="23">
        <f>ROUND(Data!$G211,0)</f>
        <v>5</v>
      </c>
    </row>
    <row r="212" spans="1:11" ht="14.25" customHeight="1" x14ac:dyDescent="0.3">
      <c r="A212" s="9" t="s">
        <v>246</v>
      </c>
      <c r="B212" s="9" t="s">
        <v>38</v>
      </c>
      <c r="C212" s="2">
        <v>144</v>
      </c>
      <c r="D212" s="12" t="s">
        <v>13</v>
      </c>
      <c r="E212" s="3">
        <v>44998</v>
      </c>
      <c r="F212" s="15">
        <v>140</v>
      </c>
      <c r="G212" s="18">
        <v>3.5</v>
      </c>
      <c r="H212" s="9">
        <f>IF(MONTH(Data!$E212)&lt;=6, YEAR(Data!$E212), YEAR(Data!$E212)+1)</f>
        <v>2023</v>
      </c>
      <c r="I212" s="9" t="str">
        <f>TEXT(Data!$E212,"DDDD")</f>
        <v>Monday</v>
      </c>
      <c r="J212" s="9" t="s">
        <v>25</v>
      </c>
      <c r="K212" s="23">
        <f>ROUND(Data!$G212,0)</f>
        <v>4</v>
      </c>
    </row>
    <row r="213" spans="1:11" ht="14.25" customHeight="1" x14ac:dyDescent="0.3">
      <c r="A213" s="9" t="s">
        <v>247</v>
      </c>
      <c r="B213" s="9" t="s">
        <v>58</v>
      </c>
      <c r="C213" s="2">
        <v>145</v>
      </c>
      <c r="D213" s="12" t="s">
        <v>13</v>
      </c>
      <c r="E213" s="3">
        <v>44998</v>
      </c>
      <c r="F213" s="15">
        <v>136</v>
      </c>
      <c r="G213" s="18">
        <v>4.4000000000000004</v>
      </c>
      <c r="H213" s="9">
        <f>IF(MONTH(Data!$E213)&lt;=6, YEAR(Data!$E213), YEAR(Data!$E213)+1)</f>
        <v>2023</v>
      </c>
      <c r="I213" s="9" t="str">
        <f>TEXT(Data!$E213,"DDDD")</f>
        <v>Monday</v>
      </c>
      <c r="J213" s="9" t="s">
        <v>25</v>
      </c>
      <c r="K213" s="23">
        <f>ROUND(Data!$G213,0)</f>
        <v>4</v>
      </c>
    </row>
    <row r="214" spans="1:11" ht="14.25" customHeight="1" x14ac:dyDescent="0.3">
      <c r="A214" s="9" t="s">
        <v>248</v>
      </c>
      <c r="B214" s="9" t="s">
        <v>18</v>
      </c>
      <c r="C214" s="2">
        <v>85</v>
      </c>
      <c r="D214" s="12" t="s">
        <v>35</v>
      </c>
      <c r="E214" s="3">
        <v>44998</v>
      </c>
      <c r="F214" s="15">
        <v>66</v>
      </c>
      <c r="G214" s="18">
        <v>2.8</v>
      </c>
      <c r="H214" s="9">
        <f>IF(MONTH(Data!$E214)&lt;=6, YEAR(Data!$E214), YEAR(Data!$E214)+1)</f>
        <v>2023</v>
      </c>
      <c r="I214" s="9" t="str">
        <f>TEXT(Data!$E214,"DDDD")</f>
        <v>Monday</v>
      </c>
      <c r="J214" s="9" t="s">
        <v>14</v>
      </c>
      <c r="K214" s="23">
        <f>ROUND(Data!$G214,0)</f>
        <v>3</v>
      </c>
    </row>
    <row r="215" spans="1:11" ht="14.25" customHeight="1" x14ac:dyDescent="0.3">
      <c r="A215" s="9" t="s">
        <v>249</v>
      </c>
      <c r="B215" s="9" t="s">
        <v>58</v>
      </c>
      <c r="C215" s="2">
        <v>13</v>
      </c>
      <c r="D215" s="12" t="s">
        <v>24</v>
      </c>
      <c r="E215" s="3">
        <v>44999</v>
      </c>
      <c r="F215" s="15">
        <v>63</v>
      </c>
      <c r="G215" s="18">
        <v>4.0999999999999996</v>
      </c>
      <c r="H215" s="9">
        <f>IF(MONTH(Data!$E215)&lt;=6, YEAR(Data!$E215), YEAR(Data!$E215)+1)</f>
        <v>2023</v>
      </c>
      <c r="I215" s="9" t="str">
        <f>TEXT(Data!$E215,"DDDD")</f>
        <v>Tuesday</v>
      </c>
      <c r="J215" s="9" t="s">
        <v>47</v>
      </c>
      <c r="K215" s="23">
        <f>ROUND(Data!$G215,0)</f>
        <v>4</v>
      </c>
    </row>
    <row r="216" spans="1:11" ht="14.25" customHeight="1" x14ac:dyDescent="0.3">
      <c r="A216" s="9" t="s">
        <v>250</v>
      </c>
      <c r="B216" s="9" t="s">
        <v>12</v>
      </c>
      <c r="C216" s="2">
        <v>142</v>
      </c>
      <c r="D216" s="12" t="s">
        <v>31</v>
      </c>
      <c r="E216" s="3">
        <v>44999</v>
      </c>
      <c r="F216" s="15">
        <v>44</v>
      </c>
      <c r="G216" s="18">
        <v>3.5</v>
      </c>
      <c r="H216" s="9">
        <f>IF(MONTH(Data!$E216)&lt;=6, YEAR(Data!$E216), YEAR(Data!$E216)+1)</f>
        <v>2023</v>
      </c>
      <c r="I216" s="9" t="str">
        <f>TEXT(Data!$E216,"DDDD")</f>
        <v>Tuesday</v>
      </c>
      <c r="J216" s="9" t="s">
        <v>25</v>
      </c>
      <c r="K216" s="23">
        <f>ROUND(Data!$G216,0)</f>
        <v>4</v>
      </c>
    </row>
    <row r="217" spans="1:11" ht="14.25" customHeight="1" x14ac:dyDescent="0.3">
      <c r="A217" s="9" t="s">
        <v>251</v>
      </c>
      <c r="B217" s="9" t="s">
        <v>38</v>
      </c>
      <c r="C217" s="2">
        <v>28</v>
      </c>
      <c r="D217" s="12" t="s">
        <v>19</v>
      </c>
      <c r="E217" s="3">
        <v>44999</v>
      </c>
      <c r="F217" s="15">
        <v>78</v>
      </c>
      <c r="G217" s="18">
        <v>3.8</v>
      </c>
      <c r="H217" s="9">
        <f>IF(MONTH(Data!$E217)&lt;=6, YEAR(Data!$E217), YEAR(Data!$E217)+1)</f>
        <v>2023</v>
      </c>
      <c r="I217" s="9" t="str">
        <f>TEXT(Data!$E217,"DDDD")</f>
        <v>Tuesday</v>
      </c>
      <c r="J217" s="9" t="s">
        <v>47</v>
      </c>
      <c r="K217" s="23">
        <f>ROUND(Data!$G217,0)</f>
        <v>4</v>
      </c>
    </row>
    <row r="218" spans="1:11" ht="14.25" customHeight="1" x14ac:dyDescent="0.3">
      <c r="A218" s="9" t="s">
        <v>252</v>
      </c>
      <c r="B218" s="9" t="s">
        <v>38</v>
      </c>
      <c r="C218" s="2">
        <v>119</v>
      </c>
      <c r="D218" s="12" t="s">
        <v>31</v>
      </c>
      <c r="E218" s="3">
        <v>44999</v>
      </c>
      <c r="F218" s="15">
        <v>20</v>
      </c>
      <c r="G218" s="18">
        <v>3.9</v>
      </c>
      <c r="H218" s="9">
        <f>IF(MONTH(Data!$E218)&lt;=6, YEAR(Data!$E218), YEAR(Data!$E218)+1)</f>
        <v>2023</v>
      </c>
      <c r="I218" s="9" t="str">
        <f>TEXT(Data!$E218,"DDDD")</f>
        <v>Tuesday</v>
      </c>
      <c r="J218" s="9" t="s">
        <v>14</v>
      </c>
      <c r="K218" s="23">
        <f>ROUND(Data!$G218,0)</f>
        <v>4</v>
      </c>
    </row>
    <row r="219" spans="1:11" ht="14.25" customHeight="1" x14ac:dyDescent="0.3">
      <c r="A219" s="9" t="s">
        <v>253</v>
      </c>
      <c r="B219" s="9" t="s">
        <v>88</v>
      </c>
      <c r="C219" s="2">
        <v>65</v>
      </c>
      <c r="D219" s="12" t="s">
        <v>35</v>
      </c>
      <c r="E219" s="3">
        <v>44999</v>
      </c>
      <c r="F219" s="15">
        <v>84</v>
      </c>
      <c r="G219" s="18">
        <v>2.5</v>
      </c>
      <c r="H219" s="9">
        <f>IF(MONTH(Data!$E219)&lt;=6, YEAR(Data!$E219), YEAR(Data!$E219)+1)</f>
        <v>2023</v>
      </c>
      <c r="I219" s="9" t="str">
        <f>TEXT(Data!$E219,"DDDD")</f>
        <v>Tuesday</v>
      </c>
      <c r="J219" s="9" t="s">
        <v>14</v>
      </c>
      <c r="K219" s="23">
        <f>ROUND(Data!$G219,0)</f>
        <v>3</v>
      </c>
    </row>
    <row r="220" spans="1:11" ht="14.25" customHeight="1" x14ac:dyDescent="0.3">
      <c r="A220" s="9" t="s">
        <v>254</v>
      </c>
      <c r="B220" s="9" t="s">
        <v>40</v>
      </c>
      <c r="C220" s="2">
        <v>68</v>
      </c>
      <c r="D220" s="12" t="s">
        <v>35</v>
      </c>
      <c r="E220" s="3">
        <v>44999</v>
      </c>
      <c r="F220" s="15">
        <v>32</v>
      </c>
      <c r="G220" s="18">
        <v>4.9000000000000004</v>
      </c>
      <c r="H220" s="9">
        <f>IF(MONTH(Data!$E220)&lt;=6, YEAR(Data!$E220), YEAR(Data!$E220)+1)</f>
        <v>2023</v>
      </c>
      <c r="I220" s="9" t="str">
        <f>TEXT(Data!$E220,"DDDD")</f>
        <v>Tuesday</v>
      </c>
      <c r="J220" s="9" t="s">
        <v>14</v>
      </c>
      <c r="K220" s="23">
        <f>ROUND(Data!$G220,0)</f>
        <v>5</v>
      </c>
    </row>
    <row r="221" spans="1:11" ht="14.25" customHeight="1" x14ac:dyDescent="0.3">
      <c r="A221" s="9" t="s">
        <v>255</v>
      </c>
      <c r="B221" s="9" t="s">
        <v>46</v>
      </c>
      <c r="C221" s="2">
        <v>72</v>
      </c>
      <c r="D221" s="12" t="s">
        <v>19</v>
      </c>
      <c r="E221" s="3">
        <v>44999</v>
      </c>
      <c r="F221" s="15">
        <v>132</v>
      </c>
      <c r="G221" s="18">
        <v>3.4</v>
      </c>
      <c r="H221" s="9">
        <f>IF(MONTH(Data!$E221)&lt;=6, YEAR(Data!$E221), YEAR(Data!$E221)+1)</f>
        <v>2023</v>
      </c>
      <c r="I221" s="9" t="str">
        <f>TEXT(Data!$E221,"DDDD")</f>
        <v>Tuesday</v>
      </c>
      <c r="J221" s="9" t="s">
        <v>14</v>
      </c>
      <c r="K221" s="23">
        <f>ROUND(Data!$G221,0)</f>
        <v>3</v>
      </c>
    </row>
    <row r="222" spans="1:11" ht="14.25" customHeight="1" x14ac:dyDescent="0.3">
      <c r="A222" s="9" t="s">
        <v>256</v>
      </c>
      <c r="B222" s="9" t="s">
        <v>46</v>
      </c>
      <c r="C222" s="2">
        <v>63</v>
      </c>
      <c r="D222" s="12" t="s">
        <v>13</v>
      </c>
      <c r="E222" s="3">
        <v>44999</v>
      </c>
      <c r="F222" s="15">
        <v>105</v>
      </c>
      <c r="G222" s="18">
        <v>3.3</v>
      </c>
      <c r="H222" s="9">
        <f>IF(MONTH(Data!$E222)&lt;=6, YEAR(Data!$E222), YEAR(Data!$E222)+1)</f>
        <v>2023</v>
      </c>
      <c r="I222" s="9" t="str">
        <f>TEXT(Data!$E222,"DDDD")</f>
        <v>Tuesday</v>
      </c>
      <c r="J222" s="9" t="s">
        <v>14</v>
      </c>
      <c r="K222" s="23">
        <f>ROUND(Data!$G222,0)</f>
        <v>3</v>
      </c>
    </row>
    <row r="223" spans="1:11" ht="14.25" customHeight="1" x14ac:dyDescent="0.3">
      <c r="A223" s="9" t="s">
        <v>257</v>
      </c>
      <c r="B223" s="9" t="s">
        <v>16</v>
      </c>
      <c r="C223" s="2">
        <v>139</v>
      </c>
      <c r="D223" s="12" t="s">
        <v>31</v>
      </c>
      <c r="E223" s="3">
        <v>45000</v>
      </c>
      <c r="F223" s="15">
        <v>48</v>
      </c>
      <c r="G223" s="18">
        <v>4.7</v>
      </c>
      <c r="H223" s="9">
        <f>IF(MONTH(Data!$E223)&lt;=6, YEAR(Data!$E223), YEAR(Data!$E223)+1)</f>
        <v>2023</v>
      </c>
      <c r="I223" s="9" t="str">
        <f>TEXT(Data!$E223,"DDDD")</f>
        <v>Wednesday</v>
      </c>
      <c r="J223" s="9" t="s">
        <v>25</v>
      </c>
      <c r="K223" s="23">
        <f>ROUND(Data!$G223,0)</f>
        <v>5</v>
      </c>
    </row>
    <row r="224" spans="1:11" ht="14.25" customHeight="1" x14ac:dyDescent="0.3">
      <c r="A224" s="9" t="s">
        <v>258</v>
      </c>
      <c r="B224" s="9" t="s">
        <v>38</v>
      </c>
      <c r="C224" s="2">
        <v>59</v>
      </c>
      <c r="D224" s="12" t="s">
        <v>31</v>
      </c>
      <c r="E224" s="3">
        <v>45000</v>
      </c>
      <c r="F224" s="15">
        <v>64</v>
      </c>
      <c r="G224" s="18">
        <v>4</v>
      </c>
      <c r="H224" s="9">
        <f>IF(MONTH(Data!$E224)&lt;=6, YEAR(Data!$E224), YEAR(Data!$E224)+1)</f>
        <v>2023</v>
      </c>
      <c r="I224" s="9" t="str">
        <f>TEXT(Data!$E224,"DDDD")</f>
        <v>Wednesday</v>
      </c>
      <c r="J224" s="9" t="s">
        <v>27</v>
      </c>
      <c r="K224" s="23">
        <f>ROUND(Data!$G224,0)</f>
        <v>4</v>
      </c>
    </row>
    <row r="225" spans="1:11" ht="14.25" customHeight="1" x14ac:dyDescent="0.3">
      <c r="A225" s="9" t="s">
        <v>259</v>
      </c>
      <c r="B225" s="9" t="s">
        <v>50</v>
      </c>
      <c r="C225" s="2">
        <v>138</v>
      </c>
      <c r="D225" s="12" t="s">
        <v>13</v>
      </c>
      <c r="E225" s="3">
        <v>45000</v>
      </c>
      <c r="F225" s="15">
        <v>44</v>
      </c>
      <c r="G225" s="18">
        <v>3.8</v>
      </c>
      <c r="H225" s="9">
        <f>IF(MONTH(Data!$E225)&lt;=6, YEAR(Data!$E225), YEAR(Data!$E225)+1)</f>
        <v>2023</v>
      </c>
      <c r="I225" s="9" t="str">
        <f>TEXT(Data!$E225,"DDDD")</f>
        <v>Wednesday</v>
      </c>
      <c r="J225" s="9" t="s">
        <v>25</v>
      </c>
      <c r="K225" s="23">
        <f>ROUND(Data!$G225,0)</f>
        <v>4</v>
      </c>
    </row>
    <row r="226" spans="1:11" ht="14.25" customHeight="1" x14ac:dyDescent="0.3">
      <c r="A226" s="9" t="s">
        <v>260</v>
      </c>
      <c r="B226" s="9" t="s">
        <v>16</v>
      </c>
      <c r="C226" s="2">
        <v>47</v>
      </c>
      <c r="D226" s="12" t="s">
        <v>19</v>
      </c>
      <c r="E226" s="3">
        <v>45000</v>
      </c>
      <c r="F226" s="15">
        <v>120</v>
      </c>
      <c r="G226" s="18">
        <v>3.1</v>
      </c>
      <c r="H226" s="9">
        <f>IF(MONTH(Data!$E226)&lt;=6, YEAR(Data!$E226), YEAR(Data!$E226)+1)</f>
        <v>2023</v>
      </c>
      <c r="I226" s="9" t="str">
        <f>TEXT(Data!$E226,"DDDD")</f>
        <v>Wednesday</v>
      </c>
      <c r="J226" s="9" t="s">
        <v>27</v>
      </c>
      <c r="K226" s="23">
        <f>ROUND(Data!$G226,0)</f>
        <v>3</v>
      </c>
    </row>
    <row r="227" spans="1:11" ht="14.25" customHeight="1" x14ac:dyDescent="0.3">
      <c r="A227" s="9" t="s">
        <v>261</v>
      </c>
      <c r="B227" s="9" t="s">
        <v>50</v>
      </c>
      <c r="C227" s="2">
        <v>74</v>
      </c>
      <c r="D227" s="12" t="s">
        <v>19</v>
      </c>
      <c r="E227" s="3">
        <v>45000</v>
      </c>
      <c r="F227" s="15">
        <v>144</v>
      </c>
      <c r="G227" s="18">
        <v>4.8</v>
      </c>
      <c r="H227" s="9">
        <f>IF(MONTH(Data!$E227)&lt;=6, YEAR(Data!$E227), YEAR(Data!$E227)+1)</f>
        <v>2023</v>
      </c>
      <c r="I227" s="9" t="str">
        <f>TEXT(Data!$E227,"DDDD")</f>
        <v>Wednesday</v>
      </c>
      <c r="J227" s="9" t="s">
        <v>14</v>
      </c>
      <c r="K227" s="23">
        <f>ROUND(Data!$G227,0)</f>
        <v>5</v>
      </c>
    </row>
    <row r="228" spans="1:11" ht="14.25" customHeight="1" x14ac:dyDescent="0.3">
      <c r="A228" s="9" t="s">
        <v>262</v>
      </c>
      <c r="B228" s="9" t="s">
        <v>46</v>
      </c>
      <c r="C228" s="2">
        <v>65</v>
      </c>
      <c r="D228" s="12" t="s">
        <v>19</v>
      </c>
      <c r="E228" s="3">
        <v>45000</v>
      </c>
      <c r="F228" s="15">
        <v>87</v>
      </c>
      <c r="G228" s="18">
        <v>2.7</v>
      </c>
      <c r="H228" s="9">
        <f>IF(MONTH(Data!$E228)&lt;=6, YEAR(Data!$E228), YEAR(Data!$E228)+1)</f>
        <v>2023</v>
      </c>
      <c r="I228" s="9" t="str">
        <f>TEXT(Data!$E228,"DDDD")</f>
        <v>Wednesday</v>
      </c>
      <c r="J228" s="9" t="s">
        <v>14</v>
      </c>
      <c r="K228" s="23">
        <f>ROUND(Data!$G228,0)</f>
        <v>3</v>
      </c>
    </row>
    <row r="229" spans="1:11" ht="14.25" customHeight="1" x14ac:dyDescent="0.3">
      <c r="A229" s="9" t="s">
        <v>263</v>
      </c>
      <c r="B229" s="9" t="s">
        <v>23</v>
      </c>
      <c r="C229" s="2">
        <v>123</v>
      </c>
      <c r="D229" s="12" t="s">
        <v>35</v>
      </c>
      <c r="E229" s="3">
        <v>45000</v>
      </c>
      <c r="F229" s="15">
        <v>36</v>
      </c>
      <c r="G229" s="18">
        <v>3.6</v>
      </c>
      <c r="H229" s="9">
        <f>IF(MONTH(Data!$E229)&lt;=6, YEAR(Data!$E229), YEAR(Data!$E229)+1)</f>
        <v>2023</v>
      </c>
      <c r="I229" s="9" t="str">
        <f>TEXT(Data!$E229,"DDDD")</f>
        <v>Wednesday</v>
      </c>
      <c r="J229" s="9" t="s">
        <v>25</v>
      </c>
      <c r="K229" s="23">
        <f>ROUND(Data!$G229,0)</f>
        <v>4</v>
      </c>
    </row>
    <row r="230" spans="1:11" ht="14.25" customHeight="1" x14ac:dyDescent="0.3">
      <c r="A230" s="9" t="s">
        <v>264</v>
      </c>
      <c r="B230" s="9" t="s">
        <v>46</v>
      </c>
      <c r="C230" s="2">
        <v>90</v>
      </c>
      <c r="D230" s="12" t="s">
        <v>31</v>
      </c>
      <c r="E230" s="3">
        <v>45001</v>
      </c>
      <c r="F230" s="15">
        <v>72</v>
      </c>
      <c r="G230" s="18">
        <v>4.7</v>
      </c>
      <c r="H230" s="9">
        <f>IF(MONTH(Data!$E230)&lt;=6, YEAR(Data!$E230), YEAR(Data!$E230)+1)</f>
        <v>2023</v>
      </c>
      <c r="I230" s="9" t="str">
        <f>TEXT(Data!$E230,"DDDD")</f>
        <v>Thursday</v>
      </c>
      <c r="J230" s="9" t="s">
        <v>14</v>
      </c>
      <c r="K230" s="23">
        <f>ROUND(Data!$G230,0)</f>
        <v>5</v>
      </c>
    </row>
    <row r="231" spans="1:11" ht="14.25" customHeight="1" x14ac:dyDescent="0.3">
      <c r="A231" s="9" t="s">
        <v>265</v>
      </c>
      <c r="B231" s="9" t="s">
        <v>68</v>
      </c>
      <c r="C231" s="2">
        <v>127</v>
      </c>
      <c r="D231" s="12" t="s">
        <v>13</v>
      </c>
      <c r="E231" s="3">
        <v>45001</v>
      </c>
      <c r="F231" s="15">
        <v>150</v>
      </c>
      <c r="G231" s="18">
        <v>4.4000000000000004</v>
      </c>
      <c r="H231" s="9">
        <f>IF(MONTH(Data!$E231)&lt;=6, YEAR(Data!$E231), YEAR(Data!$E231)+1)</f>
        <v>2023</v>
      </c>
      <c r="I231" s="9" t="str">
        <f>TEXT(Data!$E231,"DDDD")</f>
        <v>Thursday</v>
      </c>
      <c r="J231" s="9" t="s">
        <v>25</v>
      </c>
      <c r="K231" s="23">
        <f>ROUND(Data!$G231,0)</f>
        <v>4</v>
      </c>
    </row>
    <row r="232" spans="1:11" ht="14.25" customHeight="1" x14ac:dyDescent="0.3">
      <c r="A232" s="9" t="s">
        <v>266</v>
      </c>
      <c r="B232" s="9" t="s">
        <v>21</v>
      </c>
      <c r="C232" s="2">
        <v>60</v>
      </c>
      <c r="D232" s="12" t="s">
        <v>19</v>
      </c>
      <c r="E232" s="3">
        <v>45001</v>
      </c>
      <c r="F232" s="15">
        <v>68</v>
      </c>
      <c r="G232" s="18">
        <v>4.3</v>
      </c>
      <c r="H232" s="9">
        <f>IF(MONTH(Data!$E232)&lt;=6, YEAR(Data!$E232), YEAR(Data!$E232)+1)</f>
        <v>2023</v>
      </c>
      <c r="I232" s="9" t="str">
        <f>TEXT(Data!$E232,"DDDD")</f>
        <v>Thursday</v>
      </c>
      <c r="J232" s="9" t="s">
        <v>27</v>
      </c>
      <c r="K232" s="23">
        <f>ROUND(Data!$G232,0)</f>
        <v>4</v>
      </c>
    </row>
    <row r="233" spans="1:11" ht="14.25" customHeight="1" x14ac:dyDescent="0.3">
      <c r="A233" s="9" t="s">
        <v>267</v>
      </c>
      <c r="B233" s="9" t="s">
        <v>16</v>
      </c>
      <c r="C233" s="2">
        <v>94</v>
      </c>
      <c r="D233" s="12" t="s">
        <v>13</v>
      </c>
      <c r="E233" s="3">
        <v>45001</v>
      </c>
      <c r="F233" s="15">
        <v>99</v>
      </c>
      <c r="G233" s="18">
        <v>4.9000000000000004</v>
      </c>
      <c r="H233" s="9">
        <f>IF(MONTH(Data!$E233)&lt;=6, YEAR(Data!$E233), YEAR(Data!$E233)+1)</f>
        <v>2023</v>
      </c>
      <c r="I233" s="9" t="str">
        <f>TEXT(Data!$E233,"DDDD")</f>
        <v>Thursday</v>
      </c>
      <c r="J233" s="9" t="s">
        <v>14</v>
      </c>
      <c r="K233" s="23">
        <f>ROUND(Data!$G233,0)</f>
        <v>5</v>
      </c>
    </row>
    <row r="234" spans="1:11" ht="14.25" customHeight="1" x14ac:dyDescent="0.3">
      <c r="A234" s="9" t="s">
        <v>268</v>
      </c>
      <c r="B234" s="9" t="s">
        <v>23</v>
      </c>
      <c r="C234" s="2">
        <v>54</v>
      </c>
      <c r="D234" s="12" t="s">
        <v>19</v>
      </c>
      <c r="E234" s="3">
        <v>45001</v>
      </c>
      <c r="F234" s="15">
        <v>26</v>
      </c>
      <c r="G234" s="18">
        <v>4.8</v>
      </c>
      <c r="H234" s="9">
        <f>IF(MONTH(Data!$E234)&lt;=6, YEAR(Data!$E234), YEAR(Data!$E234)+1)</f>
        <v>2023</v>
      </c>
      <c r="I234" s="9" t="str">
        <f>TEXT(Data!$E234,"DDDD")</f>
        <v>Thursday</v>
      </c>
      <c r="J234" s="9" t="s">
        <v>27</v>
      </c>
      <c r="K234" s="23">
        <f>ROUND(Data!$G234,0)</f>
        <v>5</v>
      </c>
    </row>
    <row r="235" spans="1:11" ht="14.25" customHeight="1" x14ac:dyDescent="0.3">
      <c r="A235" s="9" t="s">
        <v>269</v>
      </c>
      <c r="B235" s="9" t="s">
        <v>46</v>
      </c>
      <c r="C235" s="2">
        <v>104</v>
      </c>
      <c r="D235" s="12" t="s">
        <v>19</v>
      </c>
      <c r="E235" s="3">
        <v>45001</v>
      </c>
      <c r="F235" s="15">
        <v>88</v>
      </c>
      <c r="G235" s="18">
        <v>3.2</v>
      </c>
      <c r="H235" s="9">
        <f>IF(MONTH(Data!$E235)&lt;=6, YEAR(Data!$E235), YEAR(Data!$E235)+1)</f>
        <v>2023</v>
      </c>
      <c r="I235" s="9" t="str">
        <f>TEXT(Data!$E235,"DDDD")</f>
        <v>Thursday</v>
      </c>
      <c r="J235" s="9" t="s">
        <v>14</v>
      </c>
      <c r="K235" s="23">
        <f>ROUND(Data!$G235,0)</f>
        <v>3</v>
      </c>
    </row>
    <row r="236" spans="1:11" ht="14.25" customHeight="1" x14ac:dyDescent="0.3">
      <c r="A236" s="9" t="s">
        <v>270</v>
      </c>
      <c r="B236" s="9" t="s">
        <v>29</v>
      </c>
      <c r="C236" s="2">
        <v>100</v>
      </c>
      <c r="D236" s="12" t="s">
        <v>19</v>
      </c>
      <c r="E236" s="3">
        <v>45001</v>
      </c>
      <c r="F236" s="15">
        <v>124</v>
      </c>
      <c r="G236" s="18">
        <v>3.4</v>
      </c>
      <c r="H236" s="9">
        <f>IF(MONTH(Data!$E236)&lt;=6, YEAR(Data!$E236), YEAR(Data!$E236)+1)</f>
        <v>2023</v>
      </c>
      <c r="I236" s="9" t="str">
        <f>TEXT(Data!$E236,"DDDD")</f>
        <v>Thursday</v>
      </c>
      <c r="J236" s="9" t="s">
        <v>14</v>
      </c>
      <c r="K236" s="23">
        <f>ROUND(Data!$G236,0)</f>
        <v>3</v>
      </c>
    </row>
    <row r="237" spans="1:11" ht="14.25" customHeight="1" x14ac:dyDescent="0.3">
      <c r="A237" s="9" t="s">
        <v>271</v>
      </c>
      <c r="B237" s="9" t="s">
        <v>50</v>
      </c>
      <c r="C237" s="2">
        <v>84</v>
      </c>
      <c r="D237" s="12" t="s">
        <v>19</v>
      </c>
      <c r="E237" s="3">
        <v>45001</v>
      </c>
      <c r="F237" s="15">
        <v>72</v>
      </c>
      <c r="G237" s="18">
        <v>3.5</v>
      </c>
      <c r="H237" s="9">
        <f>IF(MONTH(Data!$E237)&lt;=6, YEAR(Data!$E237), YEAR(Data!$E237)+1)</f>
        <v>2023</v>
      </c>
      <c r="I237" s="9" t="str">
        <f>TEXT(Data!$E237,"DDDD")</f>
        <v>Thursday</v>
      </c>
      <c r="J237" s="9" t="s">
        <v>14</v>
      </c>
      <c r="K237" s="23">
        <f>ROUND(Data!$G237,0)</f>
        <v>4</v>
      </c>
    </row>
    <row r="238" spans="1:11" ht="14.25" customHeight="1" x14ac:dyDescent="0.3">
      <c r="A238" s="9" t="s">
        <v>272</v>
      </c>
      <c r="B238" s="9" t="s">
        <v>12</v>
      </c>
      <c r="C238" s="2">
        <v>92</v>
      </c>
      <c r="D238" s="12" t="s">
        <v>24</v>
      </c>
      <c r="E238" s="3">
        <v>45002</v>
      </c>
      <c r="F238" s="15">
        <v>125</v>
      </c>
      <c r="G238" s="18">
        <v>4.9000000000000004</v>
      </c>
      <c r="H238" s="9">
        <f>IF(MONTH(Data!$E238)&lt;=6, YEAR(Data!$E238), YEAR(Data!$E238)+1)</f>
        <v>2023</v>
      </c>
      <c r="I238" s="9" t="str">
        <f>TEXT(Data!$E238,"DDDD")</f>
        <v>Friday</v>
      </c>
      <c r="J238" s="9" t="s">
        <v>14</v>
      </c>
      <c r="K238" s="23">
        <f>ROUND(Data!$G238,0)</f>
        <v>5</v>
      </c>
    </row>
    <row r="239" spans="1:11" ht="14.25" customHeight="1" x14ac:dyDescent="0.3">
      <c r="A239" s="9" t="s">
        <v>273</v>
      </c>
      <c r="B239" s="9" t="s">
        <v>34</v>
      </c>
      <c r="C239" s="2">
        <v>64</v>
      </c>
      <c r="D239" s="12" t="s">
        <v>13</v>
      </c>
      <c r="E239" s="3">
        <v>45002</v>
      </c>
      <c r="F239" s="15">
        <v>22</v>
      </c>
      <c r="G239" s="18">
        <v>4.0999999999999996</v>
      </c>
      <c r="H239" s="9">
        <f>IF(MONTH(Data!$E239)&lt;=6, YEAR(Data!$E239), YEAR(Data!$E239)+1)</f>
        <v>2023</v>
      </c>
      <c r="I239" s="9" t="str">
        <f>TEXT(Data!$E239,"DDDD")</f>
        <v>Friday</v>
      </c>
      <c r="J239" s="9" t="s">
        <v>14</v>
      </c>
      <c r="K239" s="23">
        <f>ROUND(Data!$G239,0)</f>
        <v>4</v>
      </c>
    </row>
    <row r="240" spans="1:11" ht="14.25" customHeight="1" x14ac:dyDescent="0.3">
      <c r="A240" s="9" t="s">
        <v>274</v>
      </c>
      <c r="B240" s="9" t="s">
        <v>18</v>
      </c>
      <c r="C240" s="2">
        <v>89</v>
      </c>
      <c r="D240" s="12" t="s">
        <v>31</v>
      </c>
      <c r="E240" s="3">
        <v>45003</v>
      </c>
      <c r="F240" s="15">
        <v>70</v>
      </c>
      <c r="G240" s="18">
        <v>4.9000000000000004</v>
      </c>
      <c r="H240" s="9">
        <f>IF(MONTH(Data!$E240)&lt;=6, YEAR(Data!$E240), YEAR(Data!$E240)+1)</f>
        <v>2023</v>
      </c>
      <c r="I240" s="9" t="str">
        <f>TEXT(Data!$E240,"DDDD")</f>
        <v>Saturday</v>
      </c>
      <c r="J240" s="9" t="s">
        <v>14</v>
      </c>
      <c r="K240" s="23">
        <f>ROUND(Data!$G240,0)</f>
        <v>5</v>
      </c>
    </row>
    <row r="241" spans="1:11" ht="14.25" customHeight="1" x14ac:dyDescent="0.3">
      <c r="A241" s="9" t="s">
        <v>275</v>
      </c>
      <c r="B241" s="9" t="s">
        <v>55</v>
      </c>
      <c r="C241" s="2">
        <v>40</v>
      </c>
      <c r="D241" s="12" t="s">
        <v>19</v>
      </c>
      <c r="E241" s="3">
        <v>45003</v>
      </c>
      <c r="F241" s="15">
        <v>24</v>
      </c>
      <c r="G241" s="18">
        <v>4.3</v>
      </c>
      <c r="H241" s="9">
        <f>IF(MONTH(Data!$E241)&lt;=6, YEAR(Data!$E241), YEAR(Data!$E241)+1)</f>
        <v>2023</v>
      </c>
      <c r="I241" s="9" t="str">
        <f>TEXT(Data!$E241,"DDDD")</f>
        <v>Saturday</v>
      </c>
      <c r="J241" s="9" t="s">
        <v>27</v>
      </c>
      <c r="K241" s="23">
        <f>ROUND(Data!$G241,0)</f>
        <v>4</v>
      </c>
    </row>
    <row r="242" spans="1:11" ht="14.25" customHeight="1" x14ac:dyDescent="0.3">
      <c r="A242" s="9" t="s">
        <v>276</v>
      </c>
      <c r="B242" s="9" t="s">
        <v>38</v>
      </c>
      <c r="C242" s="2">
        <v>75</v>
      </c>
      <c r="D242" s="12" t="s">
        <v>35</v>
      </c>
      <c r="E242" s="3">
        <v>45003</v>
      </c>
      <c r="F242" s="15">
        <v>32</v>
      </c>
      <c r="G242" s="18">
        <v>4.0999999999999996</v>
      </c>
      <c r="H242" s="9">
        <f>IF(MONTH(Data!$E242)&lt;=6, YEAR(Data!$E242), YEAR(Data!$E242)+1)</f>
        <v>2023</v>
      </c>
      <c r="I242" s="9" t="str">
        <f>TEXT(Data!$E242,"DDDD")</f>
        <v>Saturday</v>
      </c>
      <c r="J242" s="9" t="s">
        <v>14</v>
      </c>
      <c r="K242" s="23">
        <f>ROUND(Data!$G242,0)</f>
        <v>4</v>
      </c>
    </row>
    <row r="243" spans="1:11" ht="14.25" customHeight="1" x14ac:dyDescent="0.3">
      <c r="A243" s="9" t="s">
        <v>277</v>
      </c>
      <c r="B243" s="9" t="s">
        <v>68</v>
      </c>
      <c r="C243" s="2">
        <v>106</v>
      </c>
      <c r="D243" s="12" t="s">
        <v>24</v>
      </c>
      <c r="E243" s="3">
        <v>45003</v>
      </c>
      <c r="F243" s="15">
        <v>112</v>
      </c>
      <c r="G243" s="18">
        <v>4.4000000000000004</v>
      </c>
      <c r="H243" s="9">
        <f>IF(MONTH(Data!$E243)&lt;=6, YEAR(Data!$E243), YEAR(Data!$E243)+1)</f>
        <v>2023</v>
      </c>
      <c r="I243" s="9" t="str">
        <f>TEXT(Data!$E243,"DDDD")</f>
        <v>Saturday</v>
      </c>
      <c r="J243" s="9" t="s">
        <v>14</v>
      </c>
      <c r="K243" s="23">
        <f>ROUND(Data!$G243,0)</f>
        <v>4</v>
      </c>
    </row>
    <row r="244" spans="1:11" ht="14.25" customHeight="1" x14ac:dyDescent="0.3">
      <c r="A244" s="9" t="s">
        <v>278</v>
      </c>
      <c r="B244" s="9" t="s">
        <v>34</v>
      </c>
      <c r="C244" s="2">
        <v>58</v>
      </c>
      <c r="D244" s="12" t="s">
        <v>19</v>
      </c>
      <c r="E244" s="3">
        <v>45004</v>
      </c>
      <c r="F244" s="15">
        <v>43</v>
      </c>
      <c r="G244" s="18">
        <v>4.5</v>
      </c>
      <c r="H244" s="9">
        <f>IF(MONTH(Data!$E244)&lt;=6, YEAR(Data!$E244), YEAR(Data!$E244)+1)</f>
        <v>2023</v>
      </c>
      <c r="I244" s="9" t="str">
        <f>TEXT(Data!$E244,"DDDD")</f>
        <v>Sunday</v>
      </c>
      <c r="J244" s="9" t="s">
        <v>27</v>
      </c>
      <c r="K244" s="23">
        <f>ROUND(Data!$G244,0)</f>
        <v>5</v>
      </c>
    </row>
    <row r="245" spans="1:11" ht="14.25" customHeight="1" x14ac:dyDescent="0.3">
      <c r="A245" s="9" t="s">
        <v>279</v>
      </c>
      <c r="B245" s="9" t="s">
        <v>50</v>
      </c>
      <c r="C245" s="2">
        <v>84</v>
      </c>
      <c r="D245" s="12" t="s">
        <v>24</v>
      </c>
      <c r="E245" s="3">
        <v>45004</v>
      </c>
      <c r="F245" s="15">
        <v>22</v>
      </c>
      <c r="G245" s="18">
        <v>3.5</v>
      </c>
      <c r="H245" s="9">
        <f>IF(MONTH(Data!$E245)&lt;=6, YEAR(Data!$E245), YEAR(Data!$E245)+1)</f>
        <v>2023</v>
      </c>
      <c r="I245" s="9" t="str">
        <f>TEXT(Data!$E245,"DDDD")</f>
        <v>Sunday</v>
      </c>
      <c r="J245" s="9" t="s">
        <v>14</v>
      </c>
      <c r="K245" s="23">
        <f>ROUND(Data!$G245,0)</f>
        <v>4</v>
      </c>
    </row>
    <row r="246" spans="1:11" ht="14.25" customHeight="1" x14ac:dyDescent="0.3">
      <c r="A246" s="9" t="s">
        <v>280</v>
      </c>
      <c r="B246" s="9" t="s">
        <v>46</v>
      </c>
      <c r="C246" s="2">
        <v>140</v>
      </c>
      <c r="D246" s="12" t="s">
        <v>24</v>
      </c>
      <c r="E246" s="3">
        <v>45004</v>
      </c>
      <c r="F246" s="15">
        <v>93</v>
      </c>
      <c r="G246" s="18">
        <v>4.4000000000000004</v>
      </c>
      <c r="H246" s="9">
        <f>IF(MONTH(Data!$E246)&lt;=6, YEAR(Data!$E246), YEAR(Data!$E246)+1)</f>
        <v>2023</v>
      </c>
      <c r="I246" s="9" t="str">
        <f>TEXT(Data!$E246,"DDDD")</f>
        <v>Sunday</v>
      </c>
      <c r="J246" s="9" t="s">
        <v>25</v>
      </c>
      <c r="K246" s="23">
        <f>ROUND(Data!$G246,0)</f>
        <v>4</v>
      </c>
    </row>
    <row r="247" spans="1:11" ht="14.25" customHeight="1" x14ac:dyDescent="0.3">
      <c r="A247" s="9" t="s">
        <v>281</v>
      </c>
      <c r="B247" s="9" t="s">
        <v>34</v>
      </c>
      <c r="C247" s="2">
        <v>67</v>
      </c>
      <c r="D247" s="12" t="s">
        <v>24</v>
      </c>
      <c r="E247" s="3">
        <v>45004</v>
      </c>
      <c r="F247" s="15">
        <v>45</v>
      </c>
      <c r="G247" s="18">
        <v>3.5</v>
      </c>
      <c r="H247" s="9">
        <f>IF(MONTH(Data!$E247)&lt;=6, YEAR(Data!$E247), YEAR(Data!$E247)+1)</f>
        <v>2023</v>
      </c>
      <c r="I247" s="9" t="str">
        <f>TEXT(Data!$E247,"DDDD")</f>
        <v>Sunday</v>
      </c>
      <c r="J247" s="9" t="s">
        <v>14</v>
      </c>
      <c r="K247" s="23">
        <f>ROUND(Data!$G247,0)</f>
        <v>4</v>
      </c>
    </row>
    <row r="248" spans="1:11" ht="14.25" customHeight="1" x14ac:dyDescent="0.3">
      <c r="A248" s="9" t="s">
        <v>282</v>
      </c>
      <c r="B248" s="9" t="s">
        <v>16</v>
      </c>
      <c r="C248" s="2">
        <v>126</v>
      </c>
      <c r="D248" s="12" t="s">
        <v>24</v>
      </c>
      <c r="E248" s="3">
        <v>45005</v>
      </c>
      <c r="F248" s="15">
        <v>96</v>
      </c>
      <c r="G248" s="18">
        <v>3.8</v>
      </c>
      <c r="H248" s="9">
        <f>IF(MONTH(Data!$E248)&lt;=6, YEAR(Data!$E248), YEAR(Data!$E248)+1)</f>
        <v>2023</v>
      </c>
      <c r="I248" s="9" t="str">
        <f>TEXT(Data!$E248,"DDDD")</f>
        <v>Monday</v>
      </c>
      <c r="J248" s="9" t="s">
        <v>25</v>
      </c>
      <c r="K248" s="23">
        <f>ROUND(Data!$G248,0)</f>
        <v>4</v>
      </c>
    </row>
    <row r="249" spans="1:11" ht="14.25" customHeight="1" x14ac:dyDescent="0.3">
      <c r="A249" s="9" t="s">
        <v>283</v>
      </c>
      <c r="B249" s="9" t="s">
        <v>16</v>
      </c>
      <c r="C249" s="2">
        <v>89</v>
      </c>
      <c r="D249" s="12" t="s">
        <v>19</v>
      </c>
      <c r="E249" s="3">
        <v>45005</v>
      </c>
      <c r="F249" s="15">
        <v>96</v>
      </c>
      <c r="G249" s="18">
        <v>3.3</v>
      </c>
      <c r="H249" s="9">
        <f>IF(MONTH(Data!$E249)&lt;=6, YEAR(Data!$E249), YEAR(Data!$E249)+1)</f>
        <v>2023</v>
      </c>
      <c r="I249" s="9" t="str">
        <f>TEXT(Data!$E249,"DDDD")</f>
        <v>Monday</v>
      </c>
      <c r="J249" s="9" t="s">
        <v>14</v>
      </c>
      <c r="K249" s="23">
        <f>ROUND(Data!$G249,0)</f>
        <v>3</v>
      </c>
    </row>
    <row r="250" spans="1:11" ht="14.25" customHeight="1" x14ac:dyDescent="0.3">
      <c r="A250" s="9" t="s">
        <v>284</v>
      </c>
      <c r="B250" s="9" t="s">
        <v>18</v>
      </c>
      <c r="C250" s="2">
        <v>56</v>
      </c>
      <c r="D250" s="12" t="s">
        <v>13</v>
      </c>
      <c r="E250" s="3">
        <v>45005</v>
      </c>
      <c r="F250" s="15">
        <v>31</v>
      </c>
      <c r="G250" s="18">
        <v>4.4000000000000004</v>
      </c>
      <c r="H250" s="9">
        <f>IF(MONTH(Data!$E250)&lt;=6, YEAR(Data!$E250), YEAR(Data!$E250)+1)</f>
        <v>2023</v>
      </c>
      <c r="I250" s="9" t="str">
        <f>TEXT(Data!$E250,"DDDD")</f>
        <v>Monday</v>
      </c>
      <c r="J250" s="9" t="s">
        <v>27</v>
      </c>
      <c r="K250" s="23">
        <f>ROUND(Data!$G250,0)</f>
        <v>4</v>
      </c>
    </row>
    <row r="251" spans="1:11" ht="14.25" customHeight="1" x14ac:dyDescent="0.3">
      <c r="A251" s="9" t="s">
        <v>285</v>
      </c>
      <c r="B251" s="9" t="s">
        <v>23</v>
      </c>
      <c r="C251" s="2">
        <v>48</v>
      </c>
      <c r="D251" s="12" t="s">
        <v>19</v>
      </c>
      <c r="E251" s="3">
        <v>45005</v>
      </c>
      <c r="F251" s="15">
        <v>200</v>
      </c>
      <c r="G251" s="18">
        <v>3.9</v>
      </c>
      <c r="H251" s="9">
        <f>IF(MONTH(Data!$E251)&lt;=6, YEAR(Data!$E251), YEAR(Data!$E251)+1)</f>
        <v>2023</v>
      </c>
      <c r="I251" s="9" t="str">
        <f>TEXT(Data!$E251,"DDDD")</f>
        <v>Monday</v>
      </c>
      <c r="J251" s="9" t="s">
        <v>27</v>
      </c>
      <c r="K251" s="23">
        <f>ROUND(Data!$G251,0)</f>
        <v>4</v>
      </c>
    </row>
    <row r="252" spans="1:11" ht="14.25" customHeight="1" x14ac:dyDescent="0.3">
      <c r="A252" s="9" t="s">
        <v>286</v>
      </c>
      <c r="B252" s="9" t="s">
        <v>16</v>
      </c>
      <c r="C252" s="2">
        <v>55</v>
      </c>
      <c r="D252" s="12" t="s">
        <v>13</v>
      </c>
      <c r="E252" s="3">
        <v>45005</v>
      </c>
      <c r="F252" s="15">
        <v>99</v>
      </c>
      <c r="G252" s="18">
        <v>2.7</v>
      </c>
      <c r="H252" s="9">
        <f>IF(MONTH(Data!$E252)&lt;=6, YEAR(Data!$E252), YEAR(Data!$E252)+1)</f>
        <v>2023</v>
      </c>
      <c r="I252" s="9" t="str">
        <f>TEXT(Data!$E252,"DDDD")</f>
        <v>Monday</v>
      </c>
      <c r="J252" s="9" t="s">
        <v>27</v>
      </c>
      <c r="K252" s="23">
        <f>ROUND(Data!$G252,0)</f>
        <v>3</v>
      </c>
    </row>
    <row r="253" spans="1:11" ht="14.25" customHeight="1" x14ac:dyDescent="0.3">
      <c r="A253" s="9" t="s">
        <v>287</v>
      </c>
      <c r="B253" s="9" t="s">
        <v>21</v>
      </c>
      <c r="C253" s="2">
        <v>88</v>
      </c>
      <c r="D253" s="12" t="s">
        <v>35</v>
      </c>
      <c r="E253" s="3">
        <v>45005</v>
      </c>
      <c r="F253" s="15">
        <v>144</v>
      </c>
      <c r="G253" s="18">
        <v>2.9</v>
      </c>
      <c r="H253" s="9">
        <f>IF(MONTH(Data!$E253)&lt;=6, YEAR(Data!$E253), YEAR(Data!$E253)+1)</f>
        <v>2023</v>
      </c>
      <c r="I253" s="9" t="str">
        <f>TEXT(Data!$E253,"DDDD")</f>
        <v>Monday</v>
      </c>
      <c r="J253" s="9" t="s">
        <v>14</v>
      </c>
      <c r="K253" s="23">
        <f>ROUND(Data!$G253,0)</f>
        <v>3</v>
      </c>
    </row>
    <row r="254" spans="1:11" ht="14.25" customHeight="1" x14ac:dyDescent="0.3">
      <c r="A254" s="9" t="s">
        <v>288</v>
      </c>
      <c r="B254" s="9" t="s">
        <v>18</v>
      </c>
      <c r="C254" s="2">
        <v>102</v>
      </c>
      <c r="D254" s="12" t="s">
        <v>24</v>
      </c>
      <c r="E254" s="3">
        <v>45006</v>
      </c>
      <c r="F254" s="15">
        <v>81</v>
      </c>
      <c r="G254" s="18">
        <v>4</v>
      </c>
      <c r="H254" s="9">
        <f>IF(MONTH(Data!$E254)&lt;=6, YEAR(Data!$E254), YEAR(Data!$E254)+1)</f>
        <v>2023</v>
      </c>
      <c r="I254" s="9" t="str">
        <f>TEXT(Data!$E254,"DDDD")</f>
        <v>Tuesday</v>
      </c>
      <c r="J254" s="9" t="s">
        <v>14</v>
      </c>
      <c r="K254" s="23">
        <f>ROUND(Data!$G254,0)</f>
        <v>4</v>
      </c>
    </row>
    <row r="255" spans="1:11" ht="14.25" customHeight="1" x14ac:dyDescent="0.3">
      <c r="A255" s="9" t="s">
        <v>289</v>
      </c>
      <c r="B255" s="9" t="s">
        <v>21</v>
      </c>
      <c r="C255" s="2">
        <v>155</v>
      </c>
      <c r="D255" s="12" t="s">
        <v>35</v>
      </c>
      <c r="E255" s="3">
        <v>45006</v>
      </c>
      <c r="F255" s="15">
        <v>70</v>
      </c>
      <c r="G255" s="18">
        <v>4.4000000000000004</v>
      </c>
      <c r="H255" s="9">
        <f>IF(MONTH(Data!$E255)&lt;=6, YEAR(Data!$E255), YEAR(Data!$E255)+1)</f>
        <v>2023</v>
      </c>
      <c r="I255" s="9" t="str">
        <f>TEXT(Data!$E255,"DDDD")</f>
        <v>Tuesday</v>
      </c>
      <c r="J255" s="9" t="s">
        <v>25</v>
      </c>
      <c r="K255" s="23">
        <f>ROUND(Data!$G255,0)</f>
        <v>4</v>
      </c>
    </row>
    <row r="256" spans="1:11" ht="14.25" customHeight="1" x14ac:dyDescent="0.3">
      <c r="A256" s="9" t="s">
        <v>290</v>
      </c>
      <c r="B256" s="9" t="s">
        <v>16</v>
      </c>
      <c r="C256" s="2">
        <v>63</v>
      </c>
      <c r="D256" s="12" t="s">
        <v>35</v>
      </c>
      <c r="E256" s="3">
        <v>45006</v>
      </c>
      <c r="F256" s="15">
        <v>148</v>
      </c>
      <c r="G256" s="18">
        <v>5</v>
      </c>
      <c r="H256" s="9">
        <f>IF(MONTH(Data!$E256)&lt;=6, YEAR(Data!$E256), YEAR(Data!$E256)+1)</f>
        <v>2023</v>
      </c>
      <c r="I256" s="9" t="str">
        <f>TEXT(Data!$E256,"DDDD")</f>
        <v>Tuesday</v>
      </c>
      <c r="J256" s="9" t="s">
        <v>14</v>
      </c>
      <c r="K256" s="23">
        <f>ROUND(Data!$G256,0)</f>
        <v>5</v>
      </c>
    </row>
    <row r="257" spans="1:11" ht="14.25" customHeight="1" x14ac:dyDescent="0.3">
      <c r="A257" s="9" t="s">
        <v>291</v>
      </c>
      <c r="B257" s="9" t="s">
        <v>29</v>
      </c>
      <c r="C257" s="2">
        <v>59</v>
      </c>
      <c r="D257" s="12" t="s">
        <v>24</v>
      </c>
      <c r="E257" s="3">
        <v>45006</v>
      </c>
      <c r="F257" s="15">
        <v>215</v>
      </c>
      <c r="G257" s="18">
        <v>4.0999999999999996</v>
      </c>
      <c r="H257" s="9">
        <f>IF(MONTH(Data!$E257)&lt;=6, YEAR(Data!$E257), YEAR(Data!$E257)+1)</f>
        <v>2023</v>
      </c>
      <c r="I257" s="9" t="str">
        <f>TEXT(Data!$E257,"DDDD")</f>
        <v>Tuesday</v>
      </c>
      <c r="J257" s="9" t="s">
        <v>27</v>
      </c>
      <c r="K257" s="23">
        <f>ROUND(Data!$G257,0)</f>
        <v>4</v>
      </c>
    </row>
    <row r="258" spans="1:11" ht="14.25" customHeight="1" x14ac:dyDescent="0.3">
      <c r="A258" s="9" t="s">
        <v>292</v>
      </c>
      <c r="B258" s="9" t="s">
        <v>29</v>
      </c>
      <c r="C258" s="2">
        <v>144</v>
      </c>
      <c r="D258" s="12" t="s">
        <v>19</v>
      </c>
      <c r="E258" s="3">
        <v>45006</v>
      </c>
      <c r="F258" s="15">
        <v>124</v>
      </c>
      <c r="G258" s="18">
        <v>4.4000000000000004</v>
      </c>
      <c r="H258" s="9">
        <f>IF(MONTH(Data!$E258)&lt;=6, YEAR(Data!$E258), YEAR(Data!$E258)+1)</f>
        <v>2023</v>
      </c>
      <c r="I258" s="9" t="str">
        <f>TEXT(Data!$E258,"DDDD")</f>
        <v>Tuesday</v>
      </c>
      <c r="J258" s="9" t="s">
        <v>25</v>
      </c>
      <c r="K258" s="23">
        <f>ROUND(Data!$G258,0)</f>
        <v>4</v>
      </c>
    </row>
    <row r="259" spans="1:11" ht="14.25" customHeight="1" x14ac:dyDescent="0.3">
      <c r="A259" s="9" t="s">
        <v>293</v>
      </c>
      <c r="B259" s="9" t="s">
        <v>50</v>
      </c>
      <c r="C259" s="2">
        <v>113</v>
      </c>
      <c r="D259" s="12" t="s">
        <v>31</v>
      </c>
      <c r="E259" s="3">
        <v>45006</v>
      </c>
      <c r="F259" s="15">
        <v>168</v>
      </c>
      <c r="G259" s="18">
        <v>4.0999999999999996</v>
      </c>
      <c r="H259" s="9">
        <f>IF(MONTH(Data!$E259)&lt;=6, YEAR(Data!$E259), YEAR(Data!$E259)+1)</f>
        <v>2023</v>
      </c>
      <c r="I259" s="9" t="str">
        <f>TEXT(Data!$E259,"DDDD")</f>
        <v>Tuesday</v>
      </c>
      <c r="J259" s="9" t="s">
        <v>14</v>
      </c>
      <c r="K259" s="23">
        <f>ROUND(Data!$G259,0)</f>
        <v>4</v>
      </c>
    </row>
    <row r="260" spans="1:11" ht="14.25" customHeight="1" x14ac:dyDescent="0.3">
      <c r="A260" s="9" t="s">
        <v>294</v>
      </c>
      <c r="B260" s="9" t="s">
        <v>58</v>
      </c>
      <c r="C260" s="2">
        <v>154</v>
      </c>
      <c r="D260" s="12" t="s">
        <v>13</v>
      </c>
      <c r="E260" s="3">
        <v>45006</v>
      </c>
      <c r="F260" s="15">
        <v>90</v>
      </c>
      <c r="G260" s="18">
        <v>4.5</v>
      </c>
      <c r="H260" s="9">
        <f>IF(MONTH(Data!$E260)&lt;=6, YEAR(Data!$E260), YEAR(Data!$E260)+1)</f>
        <v>2023</v>
      </c>
      <c r="I260" s="9" t="str">
        <f>TEXT(Data!$E260,"DDDD")</f>
        <v>Tuesday</v>
      </c>
      <c r="J260" s="9" t="s">
        <v>25</v>
      </c>
      <c r="K260" s="23">
        <f>ROUND(Data!$G260,0)</f>
        <v>5</v>
      </c>
    </row>
    <row r="261" spans="1:11" ht="14.25" customHeight="1" x14ac:dyDescent="0.3">
      <c r="A261" s="9" t="s">
        <v>295</v>
      </c>
      <c r="B261" s="9" t="s">
        <v>58</v>
      </c>
      <c r="C261" s="2">
        <v>58</v>
      </c>
      <c r="D261" s="12" t="s">
        <v>24</v>
      </c>
      <c r="E261" s="3">
        <v>45007</v>
      </c>
      <c r="F261" s="15">
        <v>176</v>
      </c>
      <c r="G261" s="18">
        <v>4.2</v>
      </c>
      <c r="H261" s="9">
        <f>IF(MONTH(Data!$E261)&lt;=6, YEAR(Data!$E261), YEAR(Data!$E261)+1)</f>
        <v>2023</v>
      </c>
      <c r="I261" s="9" t="str">
        <f>TEXT(Data!$E261,"DDDD")</f>
        <v>Wednesday</v>
      </c>
      <c r="J261" s="9" t="s">
        <v>27</v>
      </c>
      <c r="K261" s="23">
        <f>ROUND(Data!$G261,0)</f>
        <v>4</v>
      </c>
    </row>
    <row r="262" spans="1:11" ht="14.25" customHeight="1" x14ac:dyDescent="0.3">
      <c r="A262" s="9" t="s">
        <v>296</v>
      </c>
      <c r="B262" s="9" t="s">
        <v>23</v>
      </c>
      <c r="C262" s="2">
        <v>63</v>
      </c>
      <c r="D262" s="12" t="s">
        <v>35</v>
      </c>
      <c r="E262" s="3">
        <v>45007</v>
      </c>
      <c r="F262" s="15">
        <v>87</v>
      </c>
      <c r="G262" s="18">
        <v>4.5999999999999996</v>
      </c>
      <c r="H262" s="9">
        <f>IF(MONTH(Data!$E262)&lt;=6, YEAR(Data!$E262), YEAR(Data!$E262)+1)</f>
        <v>2023</v>
      </c>
      <c r="I262" s="9" t="str">
        <f>TEXT(Data!$E262,"DDDD")</f>
        <v>Wednesday</v>
      </c>
      <c r="J262" s="9" t="s">
        <v>14</v>
      </c>
      <c r="K262" s="23">
        <f>ROUND(Data!$G262,0)</f>
        <v>5</v>
      </c>
    </row>
    <row r="263" spans="1:11" ht="14.25" customHeight="1" x14ac:dyDescent="0.3">
      <c r="A263" s="9" t="s">
        <v>297</v>
      </c>
      <c r="B263" s="9" t="s">
        <v>46</v>
      </c>
      <c r="C263" s="2">
        <v>59</v>
      </c>
      <c r="D263" s="12" t="s">
        <v>19</v>
      </c>
      <c r="E263" s="3">
        <v>45007</v>
      </c>
      <c r="F263" s="15">
        <v>128</v>
      </c>
      <c r="G263" s="18">
        <v>4.5</v>
      </c>
      <c r="H263" s="9">
        <f>IF(MONTH(Data!$E263)&lt;=6, YEAR(Data!$E263), YEAR(Data!$E263)+1)</f>
        <v>2023</v>
      </c>
      <c r="I263" s="9" t="str">
        <f>TEXT(Data!$E263,"DDDD")</f>
        <v>Wednesday</v>
      </c>
      <c r="J263" s="9" t="s">
        <v>27</v>
      </c>
      <c r="K263" s="23">
        <f>ROUND(Data!$G263,0)</f>
        <v>5</v>
      </c>
    </row>
    <row r="264" spans="1:11" ht="14.25" customHeight="1" x14ac:dyDescent="0.3">
      <c r="A264" s="9" t="s">
        <v>298</v>
      </c>
      <c r="B264" s="9" t="s">
        <v>88</v>
      </c>
      <c r="C264" s="2">
        <v>129</v>
      </c>
      <c r="D264" s="12" t="s">
        <v>35</v>
      </c>
      <c r="E264" s="3">
        <v>45007</v>
      </c>
      <c r="F264" s="15">
        <v>120</v>
      </c>
      <c r="G264" s="18">
        <v>4.0999999999999996</v>
      </c>
      <c r="H264" s="9">
        <f>IF(MONTH(Data!$E264)&lt;=6, YEAR(Data!$E264), YEAR(Data!$E264)+1)</f>
        <v>2023</v>
      </c>
      <c r="I264" s="9" t="str">
        <f>TEXT(Data!$E264,"DDDD")</f>
        <v>Wednesday</v>
      </c>
      <c r="J264" s="9" t="s">
        <v>25</v>
      </c>
      <c r="K264" s="23">
        <f>ROUND(Data!$G264,0)</f>
        <v>4</v>
      </c>
    </row>
    <row r="265" spans="1:11" ht="14.25" customHeight="1" x14ac:dyDescent="0.3">
      <c r="A265" s="9" t="s">
        <v>299</v>
      </c>
      <c r="B265" s="9" t="s">
        <v>40</v>
      </c>
      <c r="C265" s="2">
        <v>101</v>
      </c>
      <c r="D265" s="12" t="s">
        <v>31</v>
      </c>
      <c r="E265" s="3">
        <v>45007</v>
      </c>
      <c r="F265" s="15">
        <v>130</v>
      </c>
      <c r="G265" s="18">
        <v>4.8</v>
      </c>
      <c r="H265" s="9">
        <f>IF(MONTH(Data!$E265)&lt;=6, YEAR(Data!$E265), YEAR(Data!$E265)+1)</f>
        <v>2023</v>
      </c>
      <c r="I265" s="9" t="str">
        <f>TEXT(Data!$E265,"DDDD")</f>
        <v>Wednesday</v>
      </c>
      <c r="J265" s="9" t="s">
        <v>14</v>
      </c>
      <c r="K265" s="23">
        <f>ROUND(Data!$G265,0)</f>
        <v>5</v>
      </c>
    </row>
    <row r="266" spans="1:11" ht="14.25" customHeight="1" x14ac:dyDescent="0.3">
      <c r="A266" s="9" t="s">
        <v>300</v>
      </c>
      <c r="B266" s="9" t="s">
        <v>55</v>
      </c>
      <c r="C266" s="2">
        <v>154</v>
      </c>
      <c r="D266" s="12" t="s">
        <v>19</v>
      </c>
      <c r="E266" s="3">
        <v>45007</v>
      </c>
      <c r="F266" s="15">
        <v>172</v>
      </c>
      <c r="G266" s="18">
        <v>3.1</v>
      </c>
      <c r="H266" s="9">
        <f>IF(MONTH(Data!$E266)&lt;=6, YEAR(Data!$E266), YEAR(Data!$E266)+1)</f>
        <v>2023</v>
      </c>
      <c r="I266" s="9" t="str">
        <f>TEXT(Data!$E266,"DDDD")</f>
        <v>Wednesday</v>
      </c>
      <c r="J266" s="9" t="s">
        <v>25</v>
      </c>
      <c r="K266" s="23">
        <f>ROUND(Data!$G266,0)</f>
        <v>3</v>
      </c>
    </row>
    <row r="267" spans="1:11" ht="14.25" customHeight="1" x14ac:dyDescent="0.3">
      <c r="A267" s="9" t="s">
        <v>301</v>
      </c>
      <c r="B267" s="9" t="s">
        <v>34</v>
      </c>
      <c r="C267" s="2">
        <v>131</v>
      </c>
      <c r="D267" s="12" t="s">
        <v>19</v>
      </c>
      <c r="E267" s="3">
        <v>45007</v>
      </c>
      <c r="F267" s="15">
        <v>58</v>
      </c>
      <c r="G267" s="18">
        <v>4.9000000000000004</v>
      </c>
      <c r="H267" s="9">
        <f>IF(MONTH(Data!$E267)&lt;=6, YEAR(Data!$E267), YEAR(Data!$E267)+1)</f>
        <v>2023</v>
      </c>
      <c r="I267" s="9" t="str">
        <f>TEXT(Data!$E267,"DDDD")</f>
        <v>Wednesday</v>
      </c>
      <c r="J267" s="9" t="s">
        <v>25</v>
      </c>
      <c r="K267" s="23">
        <f>ROUND(Data!$G267,0)</f>
        <v>5</v>
      </c>
    </row>
    <row r="268" spans="1:11" ht="14.25" customHeight="1" x14ac:dyDescent="0.3">
      <c r="A268" s="9" t="s">
        <v>302</v>
      </c>
      <c r="B268" s="9" t="s">
        <v>29</v>
      </c>
      <c r="C268" s="2">
        <v>111</v>
      </c>
      <c r="D268" s="12" t="s">
        <v>31</v>
      </c>
      <c r="E268" s="3">
        <v>45008</v>
      </c>
      <c r="F268" s="15">
        <v>86</v>
      </c>
      <c r="G268" s="18">
        <v>4.0999999999999996</v>
      </c>
      <c r="H268" s="9">
        <f>IF(MONTH(Data!$E268)&lt;=6, YEAR(Data!$E268), YEAR(Data!$E268)+1)</f>
        <v>2023</v>
      </c>
      <c r="I268" s="9" t="str">
        <f>TEXT(Data!$E268,"DDDD")</f>
        <v>Thursday</v>
      </c>
      <c r="J268" s="9" t="s">
        <v>14</v>
      </c>
      <c r="K268" s="23">
        <f>ROUND(Data!$G268,0)</f>
        <v>4</v>
      </c>
    </row>
    <row r="269" spans="1:11" ht="14.25" customHeight="1" x14ac:dyDescent="0.3">
      <c r="A269" s="9" t="s">
        <v>303</v>
      </c>
      <c r="B269" s="9" t="s">
        <v>58</v>
      </c>
      <c r="C269" s="2">
        <v>142</v>
      </c>
      <c r="D269" s="12" t="s">
        <v>31</v>
      </c>
      <c r="E269" s="3">
        <v>45009</v>
      </c>
      <c r="F269" s="15">
        <v>31</v>
      </c>
      <c r="G269" s="18">
        <v>4.4000000000000004</v>
      </c>
      <c r="H269" s="9">
        <f>IF(MONTH(Data!$E269)&lt;=6, YEAR(Data!$E269), YEAR(Data!$E269)+1)</f>
        <v>2023</v>
      </c>
      <c r="I269" s="9" t="str">
        <f>TEXT(Data!$E269,"DDDD")</f>
        <v>Friday</v>
      </c>
      <c r="J269" s="9" t="s">
        <v>25</v>
      </c>
      <c r="K269" s="23">
        <f>ROUND(Data!$G269,0)</f>
        <v>4</v>
      </c>
    </row>
    <row r="270" spans="1:11" ht="14.25" customHeight="1" x14ac:dyDescent="0.3">
      <c r="A270" s="9" t="s">
        <v>304</v>
      </c>
      <c r="B270" s="9" t="s">
        <v>18</v>
      </c>
      <c r="C270" s="2">
        <v>93</v>
      </c>
      <c r="D270" s="12" t="s">
        <v>35</v>
      </c>
      <c r="E270" s="3">
        <v>45009</v>
      </c>
      <c r="F270" s="15">
        <v>72</v>
      </c>
      <c r="G270" s="18">
        <v>4.4000000000000004</v>
      </c>
      <c r="H270" s="9">
        <f>IF(MONTH(Data!$E270)&lt;=6, YEAR(Data!$E270), YEAR(Data!$E270)+1)</f>
        <v>2023</v>
      </c>
      <c r="I270" s="9" t="str">
        <f>TEXT(Data!$E270,"DDDD")</f>
        <v>Friday</v>
      </c>
      <c r="J270" s="9" t="s">
        <v>14</v>
      </c>
      <c r="K270" s="23">
        <f>ROUND(Data!$G270,0)</f>
        <v>4</v>
      </c>
    </row>
    <row r="271" spans="1:11" ht="14.25" customHeight="1" x14ac:dyDescent="0.3">
      <c r="A271" s="9" t="s">
        <v>305</v>
      </c>
      <c r="B271" s="9" t="s">
        <v>58</v>
      </c>
      <c r="C271" s="2">
        <v>125</v>
      </c>
      <c r="D271" s="12" t="s">
        <v>13</v>
      </c>
      <c r="E271" s="3">
        <v>45010</v>
      </c>
      <c r="F271" s="15">
        <v>27</v>
      </c>
      <c r="G271" s="18">
        <v>3</v>
      </c>
      <c r="H271" s="9">
        <f>IF(MONTH(Data!$E271)&lt;=6, YEAR(Data!$E271), YEAR(Data!$E271)+1)</f>
        <v>2023</v>
      </c>
      <c r="I271" s="9" t="str">
        <f>TEXT(Data!$E271,"DDDD")</f>
        <v>Saturday</v>
      </c>
      <c r="J271" s="9" t="s">
        <v>25</v>
      </c>
      <c r="K271" s="23">
        <f>ROUND(Data!$G271,0)</f>
        <v>3</v>
      </c>
    </row>
    <row r="272" spans="1:11" ht="14.25" customHeight="1" x14ac:dyDescent="0.3">
      <c r="A272" s="9" t="s">
        <v>306</v>
      </c>
      <c r="B272" s="9" t="s">
        <v>88</v>
      </c>
      <c r="C272" s="2">
        <v>76</v>
      </c>
      <c r="D272" s="12" t="s">
        <v>19</v>
      </c>
      <c r="E272" s="3">
        <v>45010</v>
      </c>
      <c r="F272" s="15">
        <v>110</v>
      </c>
      <c r="G272" s="18">
        <v>4.4000000000000004</v>
      </c>
      <c r="H272" s="9">
        <f>IF(MONTH(Data!$E272)&lt;=6, YEAR(Data!$E272), YEAR(Data!$E272)+1)</f>
        <v>2023</v>
      </c>
      <c r="I272" s="9" t="str">
        <f>TEXT(Data!$E272,"DDDD")</f>
        <v>Saturday</v>
      </c>
      <c r="J272" s="9" t="s">
        <v>14</v>
      </c>
      <c r="K272" s="23">
        <f>ROUND(Data!$G272,0)</f>
        <v>4</v>
      </c>
    </row>
    <row r="273" spans="1:11" ht="14.25" customHeight="1" x14ac:dyDescent="0.3">
      <c r="A273" s="9" t="s">
        <v>307</v>
      </c>
      <c r="B273" s="9" t="s">
        <v>50</v>
      </c>
      <c r="C273" s="2">
        <v>69</v>
      </c>
      <c r="D273" s="12" t="s">
        <v>35</v>
      </c>
      <c r="E273" s="3">
        <v>45010</v>
      </c>
      <c r="F273" s="15">
        <v>126</v>
      </c>
      <c r="G273" s="18">
        <v>3.7</v>
      </c>
      <c r="H273" s="9">
        <f>IF(MONTH(Data!$E273)&lt;=6, YEAR(Data!$E273), YEAR(Data!$E273)+1)</f>
        <v>2023</v>
      </c>
      <c r="I273" s="9" t="str">
        <f>TEXT(Data!$E273,"DDDD")</f>
        <v>Saturday</v>
      </c>
      <c r="J273" s="9" t="s">
        <v>14</v>
      </c>
      <c r="K273" s="23">
        <f>ROUND(Data!$G273,0)</f>
        <v>4</v>
      </c>
    </row>
    <row r="274" spans="1:11" ht="14.25" customHeight="1" x14ac:dyDescent="0.3">
      <c r="A274" s="9" t="s">
        <v>308</v>
      </c>
      <c r="B274" s="9" t="s">
        <v>46</v>
      </c>
      <c r="C274" s="2">
        <v>149</v>
      </c>
      <c r="D274" s="12" t="s">
        <v>13</v>
      </c>
      <c r="E274" s="3">
        <v>45010</v>
      </c>
      <c r="F274" s="15">
        <v>60</v>
      </c>
      <c r="G274" s="18">
        <v>3.9</v>
      </c>
      <c r="H274" s="9">
        <f>IF(MONTH(Data!$E274)&lt;=6, YEAR(Data!$E274), YEAR(Data!$E274)+1)</f>
        <v>2023</v>
      </c>
      <c r="I274" s="9" t="str">
        <f>TEXT(Data!$E274,"DDDD")</f>
        <v>Saturday</v>
      </c>
      <c r="J274" s="9" t="s">
        <v>25</v>
      </c>
      <c r="K274" s="23">
        <f>ROUND(Data!$G274,0)</f>
        <v>4</v>
      </c>
    </row>
    <row r="275" spans="1:11" ht="14.25" customHeight="1" x14ac:dyDescent="0.3">
      <c r="A275" s="9" t="s">
        <v>309</v>
      </c>
      <c r="B275" s="9" t="s">
        <v>58</v>
      </c>
      <c r="C275" s="2">
        <v>57</v>
      </c>
      <c r="D275" s="12" t="s">
        <v>35</v>
      </c>
      <c r="E275" s="3">
        <v>45010</v>
      </c>
      <c r="F275" s="15">
        <v>35</v>
      </c>
      <c r="G275" s="18">
        <v>3.5</v>
      </c>
      <c r="H275" s="9">
        <f>IF(MONTH(Data!$E275)&lt;=6, YEAR(Data!$E275), YEAR(Data!$E275)+1)</f>
        <v>2023</v>
      </c>
      <c r="I275" s="9" t="str">
        <f>TEXT(Data!$E275,"DDDD")</f>
        <v>Saturday</v>
      </c>
      <c r="J275" s="9" t="s">
        <v>27</v>
      </c>
      <c r="K275" s="23">
        <f>ROUND(Data!$G275,0)</f>
        <v>4</v>
      </c>
    </row>
    <row r="276" spans="1:11" ht="14.25" customHeight="1" x14ac:dyDescent="0.3">
      <c r="A276" s="9" t="s">
        <v>310</v>
      </c>
      <c r="B276" s="9" t="s">
        <v>16</v>
      </c>
      <c r="C276" s="2">
        <v>113</v>
      </c>
      <c r="D276" s="12" t="s">
        <v>19</v>
      </c>
      <c r="E276" s="3">
        <v>45010</v>
      </c>
      <c r="F276" s="15">
        <v>81</v>
      </c>
      <c r="G276" s="18">
        <v>3.5</v>
      </c>
      <c r="H276" s="9">
        <f>IF(MONTH(Data!$E276)&lt;=6, YEAR(Data!$E276), YEAR(Data!$E276)+1)</f>
        <v>2023</v>
      </c>
      <c r="I276" s="9" t="str">
        <f>TEXT(Data!$E276,"DDDD")</f>
        <v>Saturday</v>
      </c>
      <c r="J276" s="9" t="s">
        <v>14</v>
      </c>
      <c r="K276" s="23">
        <f>ROUND(Data!$G276,0)</f>
        <v>4</v>
      </c>
    </row>
    <row r="277" spans="1:11" ht="14.25" customHeight="1" x14ac:dyDescent="0.3">
      <c r="A277" s="9" t="s">
        <v>311</v>
      </c>
      <c r="B277" s="9" t="s">
        <v>12</v>
      </c>
      <c r="C277" s="2">
        <v>160</v>
      </c>
      <c r="D277" s="12" t="s">
        <v>13</v>
      </c>
      <c r="E277" s="3">
        <v>45010</v>
      </c>
      <c r="F277" s="15">
        <v>116</v>
      </c>
      <c r="G277" s="18">
        <v>3.4</v>
      </c>
      <c r="H277" s="9">
        <f>IF(MONTH(Data!$E277)&lt;=6, YEAR(Data!$E277), YEAR(Data!$E277)+1)</f>
        <v>2023</v>
      </c>
      <c r="I277" s="9" t="str">
        <f>TEXT(Data!$E277,"DDDD")</f>
        <v>Saturday</v>
      </c>
      <c r="J277" s="9" t="s">
        <v>25</v>
      </c>
      <c r="K277" s="23">
        <f>ROUND(Data!$G277,0)</f>
        <v>3</v>
      </c>
    </row>
    <row r="278" spans="1:11" ht="14.25" customHeight="1" x14ac:dyDescent="0.3">
      <c r="A278" s="9" t="s">
        <v>312</v>
      </c>
      <c r="B278" s="9" t="s">
        <v>23</v>
      </c>
      <c r="C278" s="2">
        <v>158</v>
      </c>
      <c r="D278" s="12" t="s">
        <v>24</v>
      </c>
      <c r="E278" s="3">
        <v>45010</v>
      </c>
      <c r="F278" s="15">
        <v>60</v>
      </c>
      <c r="G278" s="18">
        <v>4.5</v>
      </c>
      <c r="H278" s="9">
        <f>IF(MONTH(Data!$E278)&lt;=6, YEAR(Data!$E278), YEAR(Data!$E278)+1)</f>
        <v>2023</v>
      </c>
      <c r="I278" s="9" t="str">
        <f>TEXT(Data!$E278,"DDDD")</f>
        <v>Saturday</v>
      </c>
      <c r="J278" s="9" t="s">
        <v>25</v>
      </c>
      <c r="K278" s="23">
        <f>ROUND(Data!$G278,0)</f>
        <v>5</v>
      </c>
    </row>
    <row r="279" spans="1:11" ht="14.25" customHeight="1" x14ac:dyDescent="0.3">
      <c r="A279" s="9" t="s">
        <v>313</v>
      </c>
      <c r="B279" s="9" t="s">
        <v>50</v>
      </c>
      <c r="C279" s="2">
        <v>77</v>
      </c>
      <c r="D279" s="12" t="s">
        <v>13</v>
      </c>
      <c r="E279" s="3">
        <v>45011</v>
      </c>
      <c r="F279" s="15">
        <v>130</v>
      </c>
      <c r="G279" s="18">
        <v>4.2</v>
      </c>
      <c r="H279" s="9">
        <f>IF(MONTH(Data!$E279)&lt;=6, YEAR(Data!$E279), YEAR(Data!$E279)+1)</f>
        <v>2023</v>
      </c>
      <c r="I279" s="9" t="str">
        <f>TEXT(Data!$E279,"DDDD")</f>
        <v>Sunday</v>
      </c>
      <c r="J279" s="9" t="s">
        <v>14</v>
      </c>
      <c r="K279" s="23">
        <f>ROUND(Data!$G279,0)</f>
        <v>4</v>
      </c>
    </row>
    <row r="280" spans="1:11" ht="14.25" customHeight="1" x14ac:dyDescent="0.3">
      <c r="A280" s="9" t="s">
        <v>314</v>
      </c>
      <c r="B280" s="9" t="s">
        <v>38</v>
      </c>
      <c r="C280" s="2">
        <v>118</v>
      </c>
      <c r="D280" s="12" t="s">
        <v>31</v>
      </c>
      <c r="E280" s="3">
        <v>45011</v>
      </c>
      <c r="F280" s="15">
        <v>99</v>
      </c>
      <c r="G280" s="18">
        <v>5</v>
      </c>
      <c r="H280" s="9">
        <f>IF(MONTH(Data!$E280)&lt;=6, YEAR(Data!$E280), YEAR(Data!$E280)+1)</f>
        <v>2023</v>
      </c>
      <c r="I280" s="9" t="str">
        <f>TEXT(Data!$E280,"DDDD")</f>
        <v>Sunday</v>
      </c>
      <c r="J280" s="9" t="s">
        <v>14</v>
      </c>
      <c r="K280" s="23">
        <f>ROUND(Data!$G280,0)</f>
        <v>5</v>
      </c>
    </row>
    <row r="281" spans="1:11" ht="14.25" customHeight="1" x14ac:dyDescent="0.3">
      <c r="A281" s="9" t="s">
        <v>315</v>
      </c>
      <c r="B281" s="9" t="s">
        <v>55</v>
      </c>
      <c r="C281" s="2">
        <v>75</v>
      </c>
      <c r="D281" s="12" t="s">
        <v>19</v>
      </c>
      <c r="E281" s="3">
        <v>45011</v>
      </c>
      <c r="F281" s="15">
        <v>135</v>
      </c>
      <c r="G281" s="18">
        <v>4.7</v>
      </c>
      <c r="H281" s="9">
        <f>IF(MONTH(Data!$E281)&lt;=6, YEAR(Data!$E281), YEAR(Data!$E281)+1)</f>
        <v>2023</v>
      </c>
      <c r="I281" s="9" t="str">
        <f>TEXT(Data!$E281,"DDDD")</f>
        <v>Sunday</v>
      </c>
      <c r="J281" s="9" t="s">
        <v>14</v>
      </c>
      <c r="K281" s="23">
        <f>ROUND(Data!$G281,0)</f>
        <v>5</v>
      </c>
    </row>
    <row r="282" spans="1:11" ht="14.25" customHeight="1" x14ac:dyDescent="0.3">
      <c r="A282" s="9" t="s">
        <v>316</v>
      </c>
      <c r="B282" s="9" t="s">
        <v>16</v>
      </c>
      <c r="C282" s="2">
        <v>103</v>
      </c>
      <c r="D282" s="12" t="s">
        <v>13</v>
      </c>
      <c r="E282" s="3">
        <v>45011</v>
      </c>
      <c r="F282" s="15">
        <v>42</v>
      </c>
      <c r="G282" s="18">
        <v>2.8</v>
      </c>
      <c r="H282" s="9">
        <f>IF(MONTH(Data!$E282)&lt;=6, YEAR(Data!$E282), YEAR(Data!$E282)+1)</f>
        <v>2023</v>
      </c>
      <c r="I282" s="9" t="str">
        <f>TEXT(Data!$E282,"DDDD")</f>
        <v>Sunday</v>
      </c>
      <c r="J282" s="9" t="s">
        <v>14</v>
      </c>
      <c r="K282" s="23">
        <f>ROUND(Data!$G282,0)</f>
        <v>3</v>
      </c>
    </row>
    <row r="283" spans="1:11" ht="14.25" customHeight="1" x14ac:dyDescent="0.3">
      <c r="A283" s="9" t="s">
        <v>317</v>
      </c>
      <c r="B283" s="9" t="s">
        <v>50</v>
      </c>
      <c r="C283" s="2">
        <v>116</v>
      </c>
      <c r="D283" s="12" t="s">
        <v>31</v>
      </c>
      <c r="E283" s="3">
        <v>45012</v>
      </c>
      <c r="F283" s="15">
        <v>63</v>
      </c>
      <c r="G283" s="18">
        <v>3.4</v>
      </c>
      <c r="H283" s="9">
        <f>IF(MONTH(Data!$E283)&lt;=6, YEAR(Data!$E283), YEAR(Data!$E283)+1)</f>
        <v>2023</v>
      </c>
      <c r="I283" s="9" t="str">
        <f>TEXT(Data!$E283,"DDDD")</f>
        <v>Monday</v>
      </c>
      <c r="J283" s="9" t="s">
        <v>14</v>
      </c>
      <c r="K283" s="23">
        <f>ROUND(Data!$G283,0)</f>
        <v>3</v>
      </c>
    </row>
    <row r="284" spans="1:11" ht="14.25" customHeight="1" x14ac:dyDescent="0.3">
      <c r="A284" s="9" t="s">
        <v>318</v>
      </c>
      <c r="B284" s="9" t="s">
        <v>29</v>
      </c>
      <c r="C284" s="2">
        <v>61</v>
      </c>
      <c r="D284" s="12" t="s">
        <v>24</v>
      </c>
      <c r="E284" s="3">
        <v>45012</v>
      </c>
      <c r="F284" s="15">
        <v>140</v>
      </c>
      <c r="G284" s="18">
        <v>1.8</v>
      </c>
      <c r="H284" s="9">
        <f>IF(MONTH(Data!$E284)&lt;=6, YEAR(Data!$E284), YEAR(Data!$E284)+1)</f>
        <v>2023</v>
      </c>
      <c r="I284" s="9" t="str">
        <f>TEXT(Data!$E284,"DDDD")</f>
        <v>Monday</v>
      </c>
      <c r="J284" s="9" t="s">
        <v>14</v>
      </c>
      <c r="K284" s="23">
        <f>ROUND(Data!$G284,0)</f>
        <v>2</v>
      </c>
    </row>
    <row r="285" spans="1:11" ht="14.25" customHeight="1" x14ac:dyDescent="0.3">
      <c r="A285" s="9" t="s">
        <v>319</v>
      </c>
      <c r="B285" s="9" t="s">
        <v>58</v>
      </c>
      <c r="C285" s="2">
        <v>126</v>
      </c>
      <c r="D285" s="12" t="s">
        <v>19</v>
      </c>
      <c r="E285" s="3">
        <v>45012</v>
      </c>
      <c r="F285" s="15">
        <v>128</v>
      </c>
      <c r="G285" s="18">
        <v>4.2</v>
      </c>
      <c r="H285" s="9">
        <f>IF(MONTH(Data!$E285)&lt;=6, YEAR(Data!$E285), YEAR(Data!$E285)+1)</f>
        <v>2023</v>
      </c>
      <c r="I285" s="9" t="str">
        <f>TEXT(Data!$E285,"DDDD")</f>
        <v>Monday</v>
      </c>
      <c r="J285" s="9" t="s">
        <v>25</v>
      </c>
      <c r="K285" s="23">
        <f>ROUND(Data!$G285,0)</f>
        <v>4</v>
      </c>
    </row>
    <row r="286" spans="1:11" ht="14.25" customHeight="1" x14ac:dyDescent="0.3">
      <c r="A286" s="9" t="s">
        <v>320</v>
      </c>
      <c r="B286" s="9" t="s">
        <v>40</v>
      </c>
      <c r="C286" s="2">
        <v>141</v>
      </c>
      <c r="D286" s="12" t="s">
        <v>35</v>
      </c>
      <c r="E286" s="3">
        <v>45012</v>
      </c>
      <c r="F286" s="15">
        <v>80</v>
      </c>
      <c r="G286" s="18">
        <v>4.4000000000000004</v>
      </c>
      <c r="H286" s="9">
        <f>IF(MONTH(Data!$E286)&lt;=6, YEAR(Data!$E286), YEAR(Data!$E286)+1)</f>
        <v>2023</v>
      </c>
      <c r="I286" s="9" t="str">
        <f>TEXT(Data!$E286,"DDDD")</f>
        <v>Monday</v>
      </c>
      <c r="J286" s="9" t="s">
        <v>25</v>
      </c>
      <c r="K286" s="23">
        <f>ROUND(Data!$G286,0)</f>
        <v>4</v>
      </c>
    </row>
    <row r="287" spans="1:11" ht="14.25" customHeight="1" x14ac:dyDescent="0.3">
      <c r="A287" s="9" t="s">
        <v>321</v>
      </c>
      <c r="B287" s="9" t="s">
        <v>23</v>
      </c>
      <c r="C287" s="2">
        <v>95</v>
      </c>
      <c r="D287" s="12" t="s">
        <v>31</v>
      </c>
      <c r="E287" s="3">
        <v>45012</v>
      </c>
      <c r="F287" s="15">
        <v>28</v>
      </c>
      <c r="G287" s="18">
        <v>2.7</v>
      </c>
      <c r="H287" s="9">
        <f>IF(MONTH(Data!$E287)&lt;=6, YEAR(Data!$E287), YEAR(Data!$E287)+1)</f>
        <v>2023</v>
      </c>
      <c r="I287" s="9" t="str">
        <f>TEXT(Data!$E287,"DDDD")</f>
        <v>Monday</v>
      </c>
      <c r="J287" s="9" t="s">
        <v>14</v>
      </c>
      <c r="K287" s="23">
        <f>ROUND(Data!$G287,0)</f>
        <v>3</v>
      </c>
    </row>
    <row r="288" spans="1:11" ht="14.25" customHeight="1" x14ac:dyDescent="0.3">
      <c r="A288" s="9" t="s">
        <v>322</v>
      </c>
      <c r="B288" s="9" t="s">
        <v>55</v>
      </c>
      <c r="C288" s="2">
        <v>39</v>
      </c>
      <c r="D288" s="12" t="s">
        <v>24</v>
      </c>
      <c r="E288" s="3">
        <v>45013</v>
      </c>
      <c r="F288" s="15">
        <v>81</v>
      </c>
      <c r="G288" s="18">
        <v>5</v>
      </c>
      <c r="H288" s="9">
        <f>IF(MONTH(Data!$E288)&lt;=6, YEAR(Data!$E288), YEAR(Data!$E288)+1)</f>
        <v>2023</v>
      </c>
      <c r="I288" s="9" t="str">
        <f>TEXT(Data!$E288,"DDDD")</f>
        <v>Tuesday</v>
      </c>
      <c r="J288" s="9" t="s">
        <v>27</v>
      </c>
      <c r="K288" s="23">
        <f>ROUND(Data!$G288,0)</f>
        <v>5</v>
      </c>
    </row>
    <row r="289" spans="1:11" ht="14.25" customHeight="1" x14ac:dyDescent="0.3">
      <c r="A289" s="9" t="s">
        <v>323</v>
      </c>
      <c r="B289" s="9" t="s">
        <v>16</v>
      </c>
      <c r="C289" s="2">
        <v>127</v>
      </c>
      <c r="D289" s="12" t="s">
        <v>19</v>
      </c>
      <c r="E289" s="3">
        <v>45013</v>
      </c>
      <c r="F289" s="15">
        <v>99</v>
      </c>
      <c r="G289" s="18">
        <v>3.9</v>
      </c>
      <c r="H289" s="9">
        <f>IF(MONTH(Data!$E289)&lt;=6, YEAR(Data!$E289), YEAR(Data!$E289)+1)</f>
        <v>2023</v>
      </c>
      <c r="I289" s="9" t="str">
        <f>TEXT(Data!$E289,"DDDD")</f>
        <v>Tuesday</v>
      </c>
      <c r="J289" s="9" t="s">
        <v>25</v>
      </c>
      <c r="K289" s="23">
        <f>ROUND(Data!$G289,0)</f>
        <v>4</v>
      </c>
    </row>
    <row r="290" spans="1:11" ht="14.25" customHeight="1" x14ac:dyDescent="0.3">
      <c r="A290" s="9" t="s">
        <v>324</v>
      </c>
      <c r="B290" s="9" t="s">
        <v>29</v>
      </c>
      <c r="C290" s="2">
        <v>78</v>
      </c>
      <c r="D290" s="12" t="s">
        <v>19</v>
      </c>
      <c r="E290" s="3">
        <v>45013</v>
      </c>
      <c r="F290" s="15">
        <v>43</v>
      </c>
      <c r="G290" s="18">
        <v>3.8</v>
      </c>
      <c r="H290" s="9">
        <f>IF(MONTH(Data!$E290)&lt;=6, YEAR(Data!$E290), YEAR(Data!$E290)+1)</f>
        <v>2023</v>
      </c>
      <c r="I290" s="9" t="str">
        <f>TEXT(Data!$E290,"DDDD")</f>
        <v>Tuesday</v>
      </c>
      <c r="J290" s="9" t="s">
        <v>14</v>
      </c>
      <c r="K290" s="23">
        <f>ROUND(Data!$G290,0)</f>
        <v>4</v>
      </c>
    </row>
    <row r="291" spans="1:11" ht="14.25" customHeight="1" x14ac:dyDescent="0.3">
      <c r="A291" s="9" t="s">
        <v>325</v>
      </c>
      <c r="B291" s="9" t="s">
        <v>38</v>
      </c>
      <c r="C291" s="2">
        <v>40</v>
      </c>
      <c r="D291" s="12" t="s">
        <v>19</v>
      </c>
      <c r="E291" s="3">
        <v>45013</v>
      </c>
      <c r="F291" s="15">
        <v>34</v>
      </c>
      <c r="G291" s="18">
        <v>4.5999999999999996</v>
      </c>
      <c r="H291" s="9">
        <f>IF(MONTH(Data!$E291)&lt;=6, YEAR(Data!$E291), YEAR(Data!$E291)+1)</f>
        <v>2023</v>
      </c>
      <c r="I291" s="9" t="str">
        <f>TEXT(Data!$E291,"DDDD")</f>
        <v>Tuesday</v>
      </c>
      <c r="J291" s="9" t="s">
        <v>27</v>
      </c>
      <c r="K291" s="23">
        <f>ROUND(Data!$G291,0)</f>
        <v>5</v>
      </c>
    </row>
    <row r="292" spans="1:11" ht="14.25" customHeight="1" x14ac:dyDescent="0.3">
      <c r="A292" s="9" t="s">
        <v>326</v>
      </c>
      <c r="B292" s="9" t="s">
        <v>29</v>
      </c>
      <c r="C292" s="2">
        <v>56</v>
      </c>
      <c r="D292" s="12" t="s">
        <v>24</v>
      </c>
      <c r="E292" s="3">
        <v>45013</v>
      </c>
      <c r="F292" s="15">
        <v>225</v>
      </c>
      <c r="G292" s="18">
        <v>4.5999999999999996</v>
      </c>
      <c r="H292" s="9">
        <f>IF(MONTH(Data!$E292)&lt;=6, YEAR(Data!$E292), YEAR(Data!$E292)+1)</f>
        <v>2023</v>
      </c>
      <c r="I292" s="9" t="str">
        <f>TEXT(Data!$E292,"DDDD")</f>
        <v>Tuesday</v>
      </c>
      <c r="J292" s="9" t="s">
        <v>27</v>
      </c>
      <c r="K292" s="23">
        <f>ROUND(Data!$G292,0)</f>
        <v>5</v>
      </c>
    </row>
    <row r="293" spans="1:11" ht="14.25" customHeight="1" x14ac:dyDescent="0.3">
      <c r="A293" s="9" t="s">
        <v>327</v>
      </c>
      <c r="B293" s="9" t="s">
        <v>55</v>
      </c>
      <c r="C293" s="2">
        <v>59</v>
      </c>
      <c r="D293" s="12" t="s">
        <v>35</v>
      </c>
      <c r="E293" s="3">
        <v>45013</v>
      </c>
      <c r="F293" s="15">
        <v>210</v>
      </c>
      <c r="G293" s="18">
        <v>4.5</v>
      </c>
      <c r="H293" s="9">
        <f>IF(MONTH(Data!$E293)&lt;=6, YEAR(Data!$E293), YEAR(Data!$E293)+1)</f>
        <v>2023</v>
      </c>
      <c r="I293" s="9" t="str">
        <f>TEXT(Data!$E293,"DDDD")</f>
        <v>Tuesday</v>
      </c>
      <c r="J293" s="9" t="s">
        <v>27</v>
      </c>
      <c r="K293" s="23">
        <f>ROUND(Data!$G293,0)</f>
        <v>5</v>
      </c>
    </row>
    <row r="294" spans="1:11" ht="14.25" customHeight="1" x14ac:dyDescent="0.3">
      <c r="A294" s="9" t="s">
        <v>328</v>
      </c>
      <c r="B294" s="9" t="s">
        <v>58</v>
      </c>
      <c r="C294" s="2">
        <v>30</v>
      </c>
      <c r="D294" s="12" t="s">
        <v>19</v>
      </c>
      <c r="E294" s="3">
        <v>45013</v>
      </c>
      <c r="F294" s="15">
        <v>168</v>
      </c>
      <c r="G294" s="18">
        <v>4.2</v>
      </c>
      <c r="H294" s="9">
        <f>IF(MONTH(Data!$E294)&lt;=6, YEAR(Data!$E294), YEAR(Data!$E294)+1)</f>
        <v>2023</v>
      </c>
      <c r="I294" s="9" t="str">
        <f>TEXT(Data!$E294,"DDDD")</f>
        <v>Tuesday</v>
      </c>
      <c r="J294" s="9" t="s">
        <v>47</v>
      </c>
      <c r="K294" s="23">
        <f>ROUND(Data!$G294,0)</f>
        <v>4</v>
      </c>
    </row>
    <row r="295" spans="1:11" ht="14.25" customHeight="1" x14ac:dyDescent="0.3">
      <c r="A295" s="9" t="s">
        <v>329</v>
      </c>
      <c r="B295" s="9" t="s">
        <v>38</v>
      </c>
      <c r="C295" s="2">
        <v>63</v>
      </c>
      <c r="D295" s="12" t="s">
        <v>13</v>
      </c>
      <c r="E295" s="3">
        <v>45014</v>
      </c>
      <c r="F295" s="15">
        <v>82</v>
      </c>
      <c r="G295" s="18">
        <v>4.5</v>
      </c>
      <c r="H295" s="9">
        <f>IF(MONTH(Data!$E295)&lt;=6, YEAR(Data!$E295), YEAR(Data!$E295)+1)</f>
        <v>2023</v>
      </c>
      <c r="I295" s="9" t="str">
        <f>TEXT(Data!$E295,"DDDD")</f>
        <v>Wednesday</v>
      </c>
      <c r="J295" s="9" t="s">
        <v>14</v>
      </c>
      <c r="K295" s="23">
        <f>ROUND(Data!$G295,0)</f>
        <v>5</v>
      </c>
    </row>
    <row r="296" spans="1:11" ht="14.25" customHeight="1" x14ac:dyDescent="0.3">
      <c r="A296" s="9" t="s">
        <v>330</v>
      </c>
      <c r="B296" s="9" t="s">
        <v>18</v>
      </c>
      <c r="C296" s="2">
        <v>56</v>
      </c>
      <c r="D296" s="12" t="s">
        <v>31</v>
      </c>
      <c r="E296" s="3">
        <v>45014</v>
      </c>
      <c r="F296" s="15">
        <v>88</v>
      </c>
      <c r="G296" s="18">
        <v>4.0999999999999996</v>
      </c>
      <c r="H296" s="9">
        <f>IF(MONTH(Data!$E296)&lt;=6, YEAR(Data!$E296), YEAR(Data!$E296)+1)</f>
        <v>2023</v>
      </c>
      <c r="I296" s="9" t="str">
        <f>TEXT(Data!$E296,"DDDD")</f>
        <v>Wednesday</v>
      </c>
      <c r="J296" s="9" t="s">
        <v>27</v>
      </c>
      <c r="K296" s="23">
        <f>ROUND(Data!$G296,0)</f>
        <v>4</v>
      </c>
    </row>
    <row r="297" spans="1:11" ht="14.25" customHeight="1" x14ac:dyDescent="0.3">
      <c r="A297" s="9" t="s">
        <v>331</v>
      </c>
      <c r="B297" s="9" t="s">
        <v>88</v>
      </c>
      <c r="C297" s="2">
        <v>95</v>
      </c>
      <c r="D297" s="12" t="s">
        <v>13</v>
      </c>
      <c r="E297" s="3">
        <v>45014</v>
      </c>
      <c r="F297" s="15">
        <v>111</v>
      </c>
      <c r="G297" s="18">
        <v>3.3</v>
      </c>
      <c r="H297" s="9">
        <f>IF(MONTH(Data!$E297)&lt;=6, YEAR(Data!$E297), YEAR(Data!$E297)+1)</f>
        <v>2023</v>
      </c>
      <c r="I297" s="9" t="str">
        <f>TEXT(Data!$E297,"DDDD")</f>
        <v>Wednesday</v>
      </c>
      <c r="J297" s="9" t="s">
        <v>14</v>
      </c>
      <c r="K297" s="23">
        <f>ROUND(Data!$G297,0)</f>
        <v>3</v>
      </c>
    </row>
    <row r="298" spans="1:11" ht="14.25" customHeight="1" x14ac:dyDescent="0.3">
      <c r="A298" s="9" t="s">
        <v>332</v>
      </c>
      <c r="B298" s="9" t="s">
        <v>68</v>
      </c>
      <c r="C298" s="2">
        <v>128</v>
      </c>
      <c r="D298" s="12" t="s">
        <v>35</v>
      </c>
      <c r="E298" s="3">
        <v>45014</v>
      </c>
      <c r="F298" s="15">
        <v>60</v>
      </c>
      <c r="G298" s="18">
        <v>3.8</v>
      </c>
      <c r="H298" s="9">
        <f>IF(MONTH(Data!$E298)&lt;=6, YEAR(Data!$E298), YEAR(Data!$E298)+1)</f>
        <v>2023</v>
      </c>
      <c r="I298" s="9" t="str">
        <f>TEXT(Data!$E298,"DDDD")</f>
        <v>Wednesday</v>
      </c>
      <c r="J298" s="9" t="s">
        <v>25</v>
      </c>
      <c r="K298" s="23">
        <f>ROUND(Data!$G298,0)</f>
        <v>4</v>
      </c>
    </row>
    <row r="299" spans="1:11" ht="14.25" customHeight="1" x14ac:dyDescent="0.3">
      <c r="A299" s="9" t="s">
        <v>333</v>
      </c>
      <c r="B299" s="9" t="s">
        <v>23</v>
      </c>
      <c r="C299" s="2">
        <v>49</v>
      </c>
      <c r="D299" s="12" t="s">
        <v>13</v>
      </c>
      <c r="E299" s="3">
        <v>45014</v>
      </c>
      <c r="F299" s="15">
        <v>80</v>
      </c>
      <c r="G299" s="18">
        <v>3</v>
      </c>
      <c r="H299" s="9">
        <f>IF(MONTH(Data!$E299)&lt;=6, YEAR(Data!$E299), YEAR(Data!$E299)+1)</f>
        <v>2023</v>
      </c>
      <c r="I299" s="9" t="str">
        <f>TEXT(Data!$E299,"DDDD")</f>
        <v>Wednesday</v>
      </c>
      <c r="J299" s="9" t="s">
        <v>27</v>
      </c>
      <c r="K299" s="23">
        <f>ROUND(Data!$G299,0)</f>
        <v>3</v>
      </c>
    </row>
    <row r="300" spans="1:11" ht="14.25" customHeight="1" x14ac:dyDescent="0.3">
      <c r="A300" s="9" t="s">
        <v>334</v>
      </c>
      <c r="B300" s="9" t="s">
        <v>68</v>
      </c>
      <c r="C300" s="2">
        <v>89</v>
      </c>
      <c r="D300" s="12" t="s">
        <v>24</v>
      </c>
      <c r="E300" s="3">
        <v>45016</v>
      </c>
      <c r="F300" s="15">
        <v>90</v>
      </c>
      <c r="G300" s="18">
        <v>4.5999999999999996</v>
      </c>
      <c r="H300" s="9">
        <f>IF(MONTH(Data!$E300)&lt;=6, YEAR(Data!$E300), YEAR(Data!$E300)+1)</f>
        <v>2023</v>
      </c>
      <c r="I300" s="9" t="str">
        <f>TEXT(Data!$E300,"DDDD")</f>
        <v>Friday</v>
      </c>
      <c r="J300" s="9" t="s">
        <v>14</v>
      </c>
      <c r="K300" s="23">
        <f>ROUND(Data!$G300,0)</f>
        <v>5</v>
      </c>
    </row>
    <row r="301" spans="1:11" ht="14.25" customHeight="1" x14ac:dyDescent="0.3">
      <c r="A301" s="9" t="s">
        <v>335</v>
      </c>
      <c r="B301" s="9" t="s">
        <v>46</v>
      </c>
      <c r="C301" s="2">
        <v>87</v>
      </c>
      <c r="D301" s="12" t="s">
        <v>13</v>
      </c>
      <c r="E301" s="3">
        <v>45016</v>
      </c>
      <c r="F301" s="15">
        <v>225</v>
      </c>
      <c r="G301" s="18">
        <v>2.9</v>
      </c>
      <c r="H301" s="9">
        <f>IF(MONTH(Data!$E301)&lt;=6, YEAR(Data!$E301), YEAR(Data!$E301)+1)</f>
        <v>2023</v>
      </c>
      <c r="I301" s="9" t="str">
        <f>TEXT(Data!$E301,"DDDD")</f>
        <v>Friday</v>
      </c>
      <c r="J301" s="9" t="s">
        <v>14</v>
      </c>
      <c r="K301" s="23">
        <f>ROUND(Data!$G301,0)</f>
        <v>3</v>
      </c>
    </row>
    <row r="302" spans="1:11" ht="14.25" customHeight="1" x14ac:dyDescent="0.3">
      <c r="A302" s="9" t="s">
        <v>336</v>
      </c>
      <c r="B302" s="9" t="s">
        <v>12</v>
      </c>
      <c r="C302" s="2">
        <v>60</v>
      </c>
      <c r="D302" s="12" t="s">
        <v>19</v>
      </c>
      <c r="E302" s="3">
        <v>45017</v>
      </c>
      <c r="F302" s="15">
        <v>215</v>
      </c>
      <c r="G302" s="18">
        <v>3.2</v>
      </c>
      <c r="H302" s="9">
        <f>IF(MONTH(Data!$E302)&lt;=6, YEAR(Data!$E302), YEAR(Data!$E302)+1)</f>
        <v>2023</v>
      </c>
      <c r="I302" s="9" t="str">
        <f>TEXT(Data!$E302,"DDDD")</f>
        <v>Saturday</v>
      </c>
      <c r="J302" s="9" t="s">
        <v>27</v>
      </c>
      <c r="K302" s="23">
        <f>ROUND(Data!$G302,0)</f>
        <v>3</v>
      </c>
    </row>
    <row r="303" spans="1:11" ht="14.25" customHeight="1" x14ac:dyDescent="0.3">
      <c r="A303" s="9" t="s">
        <v>337</v>
      </c>
      <c r="B303" s="9" t="s">
        <v>21</v>
      </c>
      <c r="C303" s="2">
        <v>42</v>
      </c>
      <c r="D303" s="12" t="s">
        <v>24</v>
      </c>
      <c r="E303" s="3">
        <v>45017</v>
      </c>
      <c r="F303" s="15">
        <v>45</v>
      </c>
      <c r="G303" s="18">
        <v>1.5</v>
      </c>
      <c r="H303" s="9">
        <f>IF(MONTH(Data!$E303)&lt;=6, YEAR(Data!$E303), YEAR(Data!$E303)+1)</f>
        <v>2023</v>
      </c>
      <c r="I303" s="9" t="str">
        <f>TEXT(Data!$E303,"DDDD")</f>
        <v>Saturday</v>
      </c>
      <c r="J303" s="9" t="s">
        <v>27</v>
      </c>
      <c r="K303" s="23">
        <f>ROUND(Data!$G303,0)</f>
        <v>2</v>
      </c>
    </row>
    <row r="304" spans="1:11" ht="14.25" customHeight="1" x14ac:dyDescent="0.3">
      <c r="A304" s="9" t="s">
        <v>338</v>
      </c>
      <c r="B304" s="9" t="s">
        <v>34</v>
      </c>
      <c r="C304" s="2">
        <v>99</v>
      </c>
      <c r="D304" s="12" t="s">
        <v>19</v>
      </c>
      <c r="E304" s="3">
        <v>45017</v>
      </c>
      <c r="F304" s="15">
        <v>74</v>
      </c>
      <c r="G304" s="18">
        <v>4</v>
      </c>
      <c r="H304" s="9">
        <f>IF(MONTH(Data!$E304)&lt;=6, YEAR(Data!$E304), YEAR(Data!$E304)+1)</f>
        <v>2023</v>
      </c>
      <c r="I304" s="9" t="str">
        <f>TEXT(Data!$E304,"DDDD")</f>
        <v>Saturday</v>
      </c>
      <c r="J304" s="9" t="s">
        <v>14</v>
      </c>
      <c r="K304" s="23">
        <f>ROUND(Data!$G304,0)</f>
        <v>4</v>
      </c>
    </row>
    <row r="305" spans="1:11" ht="14.25" customHeight="1" x14ac:dyDescent="0.3">
      <c r="A305" s="9" t="s">
        <v>339</v>
      </c>
      <c r="B305" s="9" t="s">
        <v>18</v>
      </c>
      <c r="C305" s="2">
        <v>20</v>
      </c>
      <c r="D305" s="12" t="s">
        <v>24</v>
      </c>
      <c r="E305" s="3">
        <v>45017</v>
      </c>
      <c r="F305" s="15">
        <v>60</v>
      </c>
      <c r="G305" s="18">
        <v>3.6</v>
      </c>
      <c r="H305" s="9">
        <f>IF(MONTH(Data!$E305)&lt;=6, YEAR(Data!$E305), YEAR(Data!$E305)+1)</f>
        <v>2023</v>
      </c>
      <c r="I305" s="9" t="str">
        <f>TEXT(Data!$E305,"DDDD")</f>
        <v>Saturday</v>
      </c>
      <c r="J305" s="9" t="s">
        <v>47</v>
      </c>
      <c r="K305" s="23">
        <f>ROUND(Data!$G305,0)</f>
        <v>4</v>
      </c>
    </row>
    <row r="306" spans="1:11" ht="14.25" customHeight="1" x14ac:dyDescent="0.3">
      <c r="A306" s="9" t="s">
        <v>340</v>
      </c>
      <c r="B306" s="9" t="s">
        <v>38</v>
      </c>
      <c r="C306" s="2">
        <v>65</v>
      </c>
      <c r="D306" s="12" t="s">
        <v>19</v>
      </c>
      <c r="E306" s="3">
        <v>45017</v>
      </c>
      <c r="F306" s="15">
        <v>64</v>
      </c>
      <c r="G306" s="18">
        <v>3.7</v>
      </c>
      <c r="H306" s="9">
        <f>IF(MONTH(Data!$E306)&lt;=6, YEAR(Data!$E306), YEAR(Data!$E306)+1)</f>
        <v>2023</v>
      </c>
      <c r="I306" s="9" t="str">
        <f>TEXT(Data!$E306,"DDDD")</f>
        <v>Saturday</v>
      </c>
      <c r="J306" s="9" t="s">
        <v>14</v>
      </c>
      <c r="K306" s="23">
        <f>ROUND(Data!$G306,0)</f>
        <v>4</v>
      </c>
    </row>
    <row r="307" spans="1:11" ht="14.25" customHeight="1" x14ac:dyDescent="0.3">
      <c r="A307" s="9" t="s">
        <v>341</v>
      </c>
      <c r="B307" s="9" t="s">
        <v>58</v>
      </c>
      <c r="C307" s="2">
        <v>71</v>
      </c>
      <c r="D307" s="12" t="s">
        <v>13</v>
      </c>
      <c r="E307" s="3">
        <v>45018</v>
      </c>
      <c r="F307" s="15">
        <v>110</v>
      </c>
      <c r="G307" s="18">
        <v>4.8</v>
      </c>
      <c r="H307" s="9">
        <f>IF(MONTH(Data!$E307)&lt;=6, YEAR(Data!$E307), YEAR(Data!$E307)+1)</f>
        <v>2023</v>
      </c>
      <c r="I307" s="9" t="str">
        <f>TEXT(Data!$E307,"DDDD")</f>
        <v>Sunday</v>
      </c>
      <c r="J307" s="9" t="s">
        <v>14</v>
      </c>
      <c r="K307" s="23">
        <f>ROUND(Data!$G307,0)</f>
        <v>5</v>
      </c>
    </row>
    <row r="308" spans="1:11" ht="14.25" customHeight="1" x14ac:dyDescent="0.3">
      <c r="A308" s="9" t="s">
        <v>342</v>
      </c>
      <c r="B308" s="9" t="s">
        <v>16</v>
      </c>
      <c r="C308" s="2">
        <v>95</v>
      </c>
      <c r="D308" s="12" t="s">
        <v>35</v>
      </c>
      <c r="E308" s="3">
        <v>45018</v>
      </c>
      <c r="F308" s="15">
        <v>52</v>
      </c>
      <c r="G308" s="18">
        <v>1.2</v>
      </c>
      <c r="H308" s="9">
        <f>IF(MONTH(Data!$E308)&lt;=6, YEAR(Data!$E308), YEAR(Data!$E308)+1)</f>
        <v>2023</v>
      </c>
      <c r="I308" s="9" t="str">
        <f>TEXT(Data!$E308,"DDDD")</f>
        <v>Sunday</v>
      </c>
      <c r="J308" s="9" t="s">
        <v>14</v>
      </c>
      <c r="K308" s="23">
        <f>ROUND(Data!$G308,0)</f>
        <v>1</v>
      </c>
    </row>
    <row r="309" spans="1:11" ht="14.25" customHeight="1" x14ac:dyDescent="0.3">
      <c r="A309" s="9" t="s">
        <v>343</v>
      </c>
      <c r="B309" s="9" t="s">
        <v>18</v>
      </c>
      <c r="C309" s="2">
        <v>81</v>
      </c>
      <c r="D309" s="12" t="s">
        <v>31</v>
      </c>
      <c r="E309" s="3">
        <v>45019</v>
      </c>
      <c r="F309" s="15">
        <v>160</v>
      </c>
      <c r="G309" s="18">
        <v>4.7</v>
      </c>
      <c r="H309" s="9">
        <f>IF(MONTH(Data!$E309)&lt;=6, YEAR(Data!$E309), YEAR(Data!$E309)+1)</f>
        <v>2023</v>
      </c>
      <c r="I309" s="9" t="str">
        <f>TEXT(Data!$E309,"DDDD")</f>
        <v>Monday</v>
      </c>
      <c r="J309" s="9" t="s">
        <v>14</v>
      </c>
      <c r="K309" s="23">
        <f>ROUND(Data!$G309,0)</f>
        <v>5</v>
      </c>
    </row>
    <row r="310" spans="1:11" ht="14.25" customHeight="1" x14ac:dyDescent="0.3">
      <c r="A310" s="9" t="s">
        <v>344</v>
      </c>
      <c r="B310" s="9" t="s">
        <v>50</v>
      </c>
      <c r="C310" s="2">
        <v>137</v>
      </c>
      <c r="D310" s="12" t="s">
        <v>31</v>
      </c>
      <c r="E310" s="3">
        <v>45019</v>
      </c>
      <c r="F310" s="15">
        <v>215</v>
      </c>
      <c r="G310" s="18">
        <v>4.7</v>
      </c>
      <c r="H310" s="9">
        <f>IF(MONTH(Data!$E310)&lt;=6, YEAR(Data!$E310), YEAR(Data!$E310)+1)</f>
        <v>2023</v>
      </c>
      <c r="I310" s="9" t="str">
        <f>TEXT(Data!$E310,"DDDD")</f>
        <v>Monday</v>
      </c>
      <c r="J310" s="9" t="s">
        <v>25</v>
      </c>
      <c r="K310" s="23">
        <f>ROUND(Data!$G310,0)</f>
        <v>5</v>
      </c>
    </row>
    <row r="311" spans="1:11" ht="14.25" customHeight="1" x14ac:dyDescent="0.3">
      <c r="A311" s="9" t="s">
        <v>345</v>
      </c>
      <c r="B311" s="9" t="s">
        <v>50</v>
      </c>
      <c r="C311" s="2">
        <v>40</v>
      </c>
      <c r="D311" s="12" t="s">
        <v>35</v>
      </c>
      <c r="E311" s="3">
        <v>45019</v>
      </c>
      <c r="F311" s="15">
        <v>220</v>
      </c>
      <c r="G311" s="18">
        <v>4.5</v>
      </c>
      <c r="H311" s="9">
        <f>IF(MONTH(Data!$E311)&lt;=6, YEAR(Data!$E311), YEAR(Data!$E311)+1)</f>
        <v>2023</v>
      </c>
      <c r="I311" s="9" t="str">
        <f>TEXT(Data!$E311,"DDDD")</f>
        <v>Monday</v>
      </c>
      <c r="J311" s="9" t="s">
        <v>27</v>
      </c>
      <c r="K311" s="23">
        <f>ROUND(Data!$G311,0)</f>
        <v>5</v>
      </c>
    </row>
    <row r="312" spans="1:11" ht="14.25" customHeight="1" x14ac:dyDescent="0.3">
      <c r="A312" s="9" t="s">
        <v>346</v>
      </c>
      <c r="B312" s="9" t="s">
        <v>34</v>
      </c>
      <c r="C312" s="2">
        <v>111</v>
      </c>
      <c r="D312" s="12" t="s">
        <v>19</v>
      </c>
      <c r="E312" s="3">
        <v>45020</v>
      </c>
      <c r="F312" s="15">
        <v>175</v>
      </c>
      <c r="G312" s="18">
        <v>3.5</v>
      </c>
      <c r="H312" s="9">
        <f>IF(MONTH(Data!$E312)&lt;=6, YEAR(Data!$E312), YEAR(Data!$E312)+1)</f>
        <v>2023</v>
      </c>
      <c r="I312" s="9" t="str">
        <f>TEXT(Data!$E312,"DDDD")</f>
        <v>Tuesday</v>
      </c>
      <c r="J312" s="9" t="s">
        <v>14</v>
      </c>
      <c r="K312" s="23">
        <f>ROUND(Data!$G312,0)</f>
        <v>4</v>
      </c>
    </row>
    <row r="313" spans="1:11" ht="14.25" customHeight="1" x14ac:dyDescent="0.3">
      <c r="A313" s="9" t="s">
        <v>347</v>
      </c>
      <c r="B313" s="9" t="s">
        <v>58</v>
      </c>
      <c r="C313" s="2">
        <v>106</v>
      </c>
      <c r="D313" s="12" t="s">
        <v>19</v>
      </c>
      <c r="E313" s="3">
        <v>45020</v>
      </c>
      <c r="F313" s="15">
        <v>145</v>
      </c>
      <c r="G313" s="18">
        <v>4.0999999999999996</v>
      </c>
      <c r="H313" s="9">
        <f>IF(MONTH(Data!$E313)&lt;=6, YEAR(Data!$E313), YEAR(Data!$E313)+1)</f>
        <v>2023</v>
      </c>
      <c r="I313" s="9" t="str">
        <f>TEXT(Data!$E313,"DDDD")</f>
        <v>Tuesday</v>
      </c>
      <c r="J313" s="9" t="s">
        <v>14</v>
      </c>
      <c r="K313" s="23">
        <f>ROUND(Data!$G313,0)</f>
        <v>4</v>
      </c>
    </row>
    <row r="314" spans="1:11" ht="14.25" customHeight="1" x14ac:dyDescent="0.3">
      <c r="A314" s="9" t="s">
        <v>348</v>
      </c>
      <c r="B314" s="9" t="s">
        <v>21</v>
      </c>
      <c r="C314" s="2">
        <v>133</v>
      </c>
      <c r="D314" s="12" t="s">
        <v>24</v>
      </c>
      <c r="E314" s="3">
        <v>45020</v>
      </c>
      <c r="F314" s="15">
        <v>72</v>
      </c>
      <c r="G314" s="18">
        <v>4.4000000000000004</v>
      </c>
      <c r="H314" s="9">
        <f>IF(MONTH(Data!$E314)&lt;=6, YEAR(Data!$E314), YEAR(Data!$E314)+1)</f>
        <v>2023</v>
      </c>
      <c r="I314" s="9" t="str">
        <f>TEXT(Data!$E314,"DDDD")</f>
        <v>Tuesday</v>
      </c>
      <c r="J314" s="9" t="s">
        <v>25</v>
      </c>
      <c r="K314" s="23">
        <f>ROUND(Data!$G314,0)</f>
        <v>4</v>
      </c>
    </row>
    <row r="315" spans="1:11" ht="14.25" customHeight="1" x14ac:dyDescent="0.3">
      <c r="A315" s="9" t="s">
        <v>349</v>
      </c>
      <c r="B315" s="9" t="s">
        <v>29</v>
      </c>
      <c r="C315" s="2">
        <v>38</v>
      </c>
      <c r="D315" s="12" t="s">
        <v>19</v>
      </c>
      <c r="E315" s="3">
        <v>45021</v>
      </c>
      <c r="F315" s="15">
        <v>81</v>
      </c>
      <c r="G315" s="18">
        <v>3.6</v>
      </c>
      <c r="H315" s="9">
        <f>IF(MONTH(Data!$E315)&lt;=6, YEAR(Data!$E315), YEAR(Data!$E315)+1)</f>
        <v>2023</v>
      </c>
      <c r="I315" s="9" t="str">
        <f>TEXT(Data!$E315,"DDDD")</f>
        <v>Wednesday</v>
      </c>
      <c r="J315" s="9" t="s">
        <v>27</v>
      </c>
      <c r="K315" s="23">
        <f>ROUND(Data!$G315,0)</f>
        <v>4</v>
      </c>
    </row>
    <row r="316" spans="1:11" ht="14.25" customHeight="1" x14ac:dyDescent="0.3">
      <c r="A316" s="9" t="s">
        <v>350</v>
      </c>
      <c r="B316" s="9" t="s">
        <v>55</v>
      </c>
      <c r="C316" s="2">
        <v>130</v>
      </c>
      <c r="D316" s="12" t="s">
        <v>35</v>
      </c>
      <c r="E316" s="3">
        <v>45021</v>
      </c>
      <c r="F316" s="15">
        <v>54</v>
      </c>
      <c r="G316" s="18">
        <v>4.0999999999999996</v>
      </c>
      <c r="H316" s="9">
        <f>IF(MONTH(Data!$E316)&lt;=6, YEAR(Data!$E316), YEAR(Data!$E316)+1)</f>
        <v>2023</v>
      </c>
      <c r="I316" s="9" t="str">
        <f>TEXT(Data!$E316,"DDDD")</f>
        <v>Wednesday</v>
      </c>
      <c r="J316" s="9" t="s">
        <v>25</v>
      </c>
      <c r="K316" s="23">
        <f>ROUND(Data!$G316,0)</f>
        <v>4</v>
      </c>
    </row>
    <row r="317" spans="1:11" ht="14.25" customHeight="1" x14ac:dyDescent="0.3">
      <c r="A317" s="9" t="s">
        <v>351</v>
      </c>
      <c r="B317" s="9" t="s">
        <v>38</v>
      </c>
      <c r="C317" s="2">
        <v>23</v>
      </c>
      <c r="D317" s="12" t="s">
        <v>24</v>
      </c>
      <c r="E317" s="3">
        <v>45021</v>
      </c>
      <c r="F317" s="15">
        <v>105</v>
      </c>
      <c r="G317" s="18">
        <v>4.8</v>
      </c>
      <c r="H317" s="9">
        <f>IF(MONTH(Data!$E317)&lt;=6, YEAR(Data!$E317), YEAR(Data!$E317)+1)</f>
        <v>2023</v>
      </c>
      <c r="I317" s="9" t="str">
        <f>TEXT(Data!$E317,"DDDD")</f>
        <v>Wednesday</v>
      </c>
      <c r="J317" s="9" t="s">
        <v>47</v>
      </c>
      <c r="K317" s="23">
        <f>ROUND(Data!$G317,0)</f>
        <v>5</v>
      </c>
    </row>
    <row r="318" spans="1:11" ht="14.25" customHeight="1" x14ac:dyDescent="0.3">
      <c r="A318" s="9" t="s">
        <v>352</v>
      </c>
      <c r="B318" s="9" t="s">
        <v>55</v>
      </c>
      <c r="C318" s="2">
        <v>124</v>
      </c>
      <c r="D318" s="12" t="s">
        <v>19</v>
      </c>
      <c r="E318" s="3">
        <v>45022</v>
      </c>
      <c r="F318" s="15">
        <v>176</v>
      </c>
      <c r="G318" s="18">
        <v>3.9</v>
      </c>
      <c r="H318" s="9">
        <f>IF(MONTH(Data!$E318)&lt;=6, YEAR(Data!$E318), YEAR(Data!$E318)+1)</f>
        <v>2023</v>
      </c>
      <c r="I318" s="9" t="str">
        <f>TEXT(Data!$E318,"DDDD")</f>
        <v>Thursday</v>
      </c>
      <c r="J318" s="9" t="s">
        <v>25</v>
      </c>
      <c r="K318" s="23">
        <f>ROUND(Data!$G318,0)</f>
        <v>4</v>
      </c>
    </row>
    <row r="319" spans="1:11" ht="14.25" customHeight="1" x14ac:dyDescent="0.3">
      <c r="A319" s="9" t="s">
        <v>353</v>
      </c>
      <c r="B319" s="9" t="s">
        <v>18</v>
      </c>
      <c r="C319" s="2">
        <v>107</v>
      </c>
      <c r="D319" s="12" t="s">
        <v>19</v>
      </c>
      <c r="E319" s="3">
        <v>45022</v>
      </c>
      <c r="F319" s="15">
        <v>115</v>
      </c>
      <c r="G319" s="18">
        <v>3.8</v>
      </c>
      <c r="H319" s="9">
        <f>IF(MONTH(Data!$E319)&lt;=6, YEAR(Data!$E319), YEAR(Data!$E319)+1)</f>
        <v>2023</v>
      </c>
      <c r="I319" s="9" t="str">
        <f>TEXT(Data!$E319,"DDDD")</f>
        <v>Thursday</v>
      </c>
      <c r="J319" s="9" t="s">
        <v>14</v>
      </c>
      <c r="K319" s="23">
        <f>ROUND(Data!$G319,0)</f>
        <v>4</v>
      </c>
    </row>
    <row r="320" spans="1:11" ht="14.25" customHeight="1" x14ac:dyDescent="0.3">
      <c r="A320" s="9" t="s">
        <v>354</v>
      </c>
      <c r="B320" s="9" t="s">
        <v>50</v>
      </c>
      <c r="C320" s="2">
        <v>60</v>
      </c>
      <c r="D320" s="12" t="s">
        <v>13</v>
      </c>
      <c r="E320" s="3">
        <v>45022</v>
      </c>
      <c r="F320" s="15">
        <v>116</v>
      </c>
      <c r="G320" s="18">
        <v>3.9</v>
      </c>
      <c r="H320" s="9">
        <f>IF(MONTH(Data!$E320)&lt;=6, YEAR(Data!$E320), YEAR(Data!$E320)+1)</f>
        <v>2023</v>
      </c>
      <c r="I320" s="9" t="str">
        <f>TEXT(Data!$E320,"DDDD")</f>
        <v>Thursday</v>
      </c>
      <c r="J320" s="9" t="s">
        <v>27</v>
      </c>
      <c r="K320" s="23">
        <f>ROUND(Data!$G320,0)</f>
        <v>4</v>
      </c>
    </row>
    <row r="321" spans="1:11" ht="14.25" customHeight="1" x14ac:dyDescent="0.3">
      <c r="A321" s="9" t="s">
        <v>355</v>
      </c>
      <c r="B321" s="9" t="s">
        <v>50</v>
      </c>
      <c r="C321" s="2">
        <v>158</v>
      </c>
      <c r="D321" s="12" t="s">
        <v>35</v>
      </c>
      <c r="E321" s="3">
        <v>45022</v>
      </c>
      <c r="F321" s="15">
        <v>100</v>
      </c>
      <c r="G321" s="18">
        <v>4.0999999999999996</v>
      </c>
      <c r="H321" s="9">
        <f>IF(MONTH(Data!$E321)&lt;=6, YEAR(Data!$E321), YEAR(Data!$E321)+1)</f>
        <v>2023</v>
      </c>
      <c r="I321" s="9" t="str">
        <f>TEXT(Data!$E321,"DDDD")</f>
        <v>Thursday</v>
      </c>
      <c r="J321" s="9" t="s">
        <v>25</v>
      </c>
      <c r="K321" s="23">
        <f>ROUND(Data!$G321,0)</f>
        <v>4</v>
      </c>
    </row>
    <row r="322" spans="1:11" ht="14.25" customHeight="1" x14ac:dyDescent="0.3">
      <c r="A322" s="9" t="s">
        <v>356</v>
      </c>
      <c r="B322" s="9" t="s">
        <v>46</v>
      </c>
      <c r="C322" s="2">
        <v>110</v>
      </c>
      <c r="D322" s="12" t="s">
        <v>35</v>
      </c>
      <c r="E322" s="3">
        <v>45023</v>
      </c>
      <c r="F322" s="15">
        <v>36</v>
      </c>
      <c r="G322" s="18">
        <v>2.2000000000000002</v>
      </c>
      <c r="H322" s="9">
        <f>IF(MONTH(Data!$E322)&lt;=6, YEAR(Data!$E322), YEAR(Data!$E322)+1)</f>
        <v>2023</v>
      </c>
      <c r="I322" s="9" t="str">
        <f>TEXT(Data!$E322,"DDDD")</f>
        <v>Friday</v>
      </c>
      <c r="J322" s="9" t="s">
        <v>14</v>
      </c>
      <c r="K322" s="23">
        <f>ROUND(Data!$G322,0)</f>
        <v>2</v>
      </c>
    </row>
    <row r="323" spans="1:11" ht="14.25" customHeight="1" x14ac:dyDescent="0.3">
      <c r="A323" s="9" t="s">
        <v>357</v>
      </c>
      <c r="B323" s="9" t="s">
        <v>68</v>
      </c>
      <c r="C323" s="2">
        <v>70</v>
      </c>
      <c r="D323" s="12" t="s">
        <v>35</v>
      </c>
      <c r="E323" s="3">
        <v>45023</v>
      </c>
      <c r="F323" s="15">
        <v>114</v>
      </c>
      <c r="G323" s="18">
        <v>5</v>
      </c>
      <c r="H323" s="9">
        <f>IF(MONTH(Data!$E323)&lt;=6, YEAR(Data!$E323), YEAR(Data!$E323)+1)</f>
        <v>2023</v>
      </c>
      <c r="I323" s="9" t="str">
        <f>TEXT(Data!$E323,"DDDD")</f>
        <v>Friday</v>
      </c>
      <c r="J323" s="9" t="s">
        <v>14</v>
      </c>
      <c r="K323" s="23">
        <f>ROUND(Data!$G323,0)</f>
        <v>5</v>
      </c>
    </row>
    <row r="324" spans="1:11" ht="14.25" customHeight="1" x14ac:dyDescent="0.3">
      <c r="A324" s="9" t="s">
        <v>358</v>
      </c>
      <c r="B324" s="9" t="s">
        <v>68</v>
      </c>
      <c r="C324" s="2">
        <v>150</v>
      </c>
      <c r="D324" s="12" t="s">
        <v>13</v>
      </c>
      <c r="E324" s="3">
        <v>45023</v>
      </c>
      <c r="F324" s="15">
        <v>24</v>
      </c>
      <c r="G324" s="18">
        <v>3.8</v>
      </c>
      <c r="H324" s="9">
        <f>IF(MONTH(Data!$E324)&lt;=6, YEAR(Data!$E324), YEAR(Data!$E324)+1)</f>
        <v>2023</v>
      </c>
      <c r="I324" s="9" t="str">
        <f>TEXT(Data!$E324,"DDDD")</f>
        <v>Friday</v>
      </c>
      <c r="J324" s="9" t="s">
        <v>25</v>
      </c>
      <c r="K324" s="23">
        <f>ROUND(Data!$G324,0)</f>
        <v>4</v>
      </c>
    </row>
    <row r="325" spans="1:11" ht="14.25" customHeight="1" x14ac:dyDescent="0.3">
      <c r="A325" s="9" t="s">
        <v>359</v>
      </c>
      <c r="B325" s="9" t="s">
        <v>29</v>
      </c>
      <c r="C325" s="2">
        <v>36</v>
      </c>
      <c r="D325" s="12" t="s">
        <v>19</v>
      </c>
      <c r="E325" s="3">
        <v>45023</v>
      </c>
      <c r="F325" s="15">
        <v>135</v>
      </c>
      <c r="G325" s="18">
        <v>4.5999999999999996</v>
      </c>
      <c r="H325" s="9">
        <f>IF(MONTH(Data!$E325)&lt;=6, YEAR(Data!$E325), YEAR(Data!$E325)+1)</f>
        <v>2023</v>
      </c>
      <c r="I325" s="9" t="str">
        <f>TEXT(Data!$E325,"DDDD")</f>
        <v>Friday</v>
      </c>
      <c r="J325" s="9" t="s">
        <v>27</v>
      </c>
      <c r="K325" s="23">
        <f>ROUND(Data!$G325,0)</f>
        <v>5</v>
      </c>
    </row>
    <row r="326" spans="1:11" ht="14.25" customHeight="1" x14ac:dyDescent="0.3">
      <c r="A326" s="9" t="s">
        <v>360</v>
      </c>
      <c r="B326" s="9" t="s">
        <v>55</v>
      </c>
      <c r="C326" s="2">
        <v>74</v>
      </c>
      <c r="D326" s="12" t="s">
        <v>19</v>
      </c>
      <c r="E326" s="3">
        <v>45023</v>
      </c>
      <c r="F326" s="15">
        <v>30</v>
      </c>
      <c r="G326" s="18">
        <v>4</v>
      </c>
      <c r="H326" s="9">
        <f>IF(MONTH(Data!$E326)&lt;=6, YEAR(Data!$E326), YEAR(Data!$E326)+1)</f>
        <v>2023</v>
      </c>
      <c r="I326" s="9" t="str">
        <f>TEXT(Data!$E326,"DDDD")</f>
        <v>Friday</v>
      </c>
      <c r="J326" s="9" t="s">
        <v>14</v>
      </c>
      <c r="K326" s="23">
        <f>ROUND(Data!$G326,0)</f>
        <v>4</v>
      </c>
    </row>
    <row r="327" spans="1:11" ht="14.25" customHeight="1" x14ac:dyDescent="0.3">
      <c r="A327" s="9" t="s">
        <v>361</v>
      </c>
      <c r="B327" s="9" t="s">
        <v>16</v>
      </c>
      <c r="C327" s="2">
        <v>75</v>
      </c>
      <c r="D327" s="12" t="s">
        <v>19</v>
      </c>
      <c r="E327" s="3">
        <v>45023</v>
      </c>
      <c r="F327" s="15">
        <v>84</v>
      </c>
      <c r="G327" s="18">
        <v>2.8</v>
      </c>
      <c r="H327" s="9">
        <f>IF(MONTH(Data!$E327)&lt;=6, YEAR(Data!$E327), YEAR(Data!$E327)+1)</f>
        <v>2023</v>
      </c>
      <c r="I327" s="9" t="str">
        <f>TEXT(Data!$E327,"DDDD")</f>
        <v>Friday</v>
      </c>
      <c r="J327" s="9" t="s">
        <v>14</v>
      </c>
      <c r="K327" s="23">
        <f>ROUND(Data!$G327,0)</f>
        <v>3</v>
      </c>
    </row>
    <row r="328" spans="1:11" ht="14.25" customHeight="1" x14ac:dyDescent="0.3">
      <c r="A328" s="9" t="s">
        <v>362</v>
      </c>
      <c r="B328" s="9" t="s">
        <v>88</v>
      </c>
      <c r="C328" s="2">
        <v>70</v>
      </c>
      <c r="D328" s="12" t="s">
        <v>31</v>
      </c>
      <c r="E328" s="3">
        <v>45023</v>
      </c>
      <c r="F328" s="15">
        <v>42</v>
      </c>
      <c r="G328" s="18">
        <v>4.4000000000000004</v>
      </c>
      <c r="H328" s="9">
        <f>IF(MONTH(Data!$E328)&lt;=6, YEAR(Data!$E328), YEAR(Data!$E328)+1)</f>
        <v>2023</v>
      </c>
      <c r="I328" s="9" t="str">
        <f>TEXT(Data!$E328,"DDDD")</f>
        <v>Friday</v>
      </c>
      <c r="J328" s="9" t="s">
        <v>14</v>
      </c>
      <c r="K328" s="23">
        <f>ROUND(Data!$G328,0)</f>
        <v>4</v>
      </c>
    </row>
    <row r="329" spans="1:11" ht="14.25" customHeight="1" x14ac:dyDescent="0.3">
      <c r="A329" s="9" t="s">
        <v>363</v>
      </c>
      <c r="B329" s="9" t="s">
        <v>46</v>
      </c>
      <c r="C329" s="2">
        <v>23</v>
      </c>
      <c r="D329" s="12" t="s">
        <v>35</v>
      </c>
      <c r="E329" s="3">
        <v>45023</v>
      </c>
      <c r="F329" s="15">
        <v>117</v>
      </c>
      <c r="G329" s="18">
        <v>2.4</v>
      </c>
      <c r="H329" s="9">
        <f>IF(MONTH(Data!$E329)&lt;=6, YEAR(Data!$E329), YEAR(Data!$E329)+1)</f>
        <v>2023</v>
      </c>
      <c r="I329" s="9" t="str">
        <f>TEXT(Data!$E329,"DDDD")</f>
        <v>Friday</v>
      </c>
      <c r="J329" s="9" t="s">
        <v>47</v>
      </c>
      <c r="K329" s="23">
        <f>ROUND(Data!$G329,0)</f>
        <v>2</v>
      </c>
    </row>
    <row r="330" spans="1:11" ht="14.25" customHeight="1" x14ac:dyDescent="0.3">
      <c r="A330" s="9" t="s">
        <v>364</v>
      </c>
      <c r="B330" s="9" t="s">
        <v>34</v>
      </c>
      <c r="C330" s="2">
        <v>104</v>
      </c>
      <c r="D330" s="12" t="s">
        <v>24</v>
      </c>
      <c r="E330" s="3">
        <v>45023</v>
      </c>
      <c r="F330" s="15">
        <v>164</v>
      </c>
      <c r="G330" s="18">
        <v>4</v>
      </c>
      <c r="H330" s="9">
        <f>IF(MONTH(Data!$E330)&lt;=6, YEAR(Data!$E330), YEAR(Data!$E330)+1)</f>
        <v>2023</v>
      </c>
      <c r="I330" s="9" t="str">
        <f>TEXT(Data!$E330,"DDDD")</f>
        <v>Friday</v>
      </c>
      <c r="J330" s="9" t="s">
        <v>14</v>
      </c>
      <c r="K330" s="23">
        <f>ROUND(Data!$G330,0)</f>
        <v>4</v>
      </c>
    </row>
    <row r="331" spans="1:11" ht="14.25" customHeight="1" x14ac:dyDescent="0.3">
      <c r="A331" s="9" t="s">
        <v>365</v>
      </c>
      <c r="B331" s="9" t="s">
        <v>68</v>
      </c>
      <c r="C331" s="2">
        <v>95</v>
      </c>
      <c r="D331" s="12" t="s">
        <v>31</v>
      </c>
      <c r="E331" s="3">
        <v>45024</v>
      </c>
      <c r="F331" s="15">
        <v>123</v>
      </c>
      <c r="G331" s="18">
        <v>4.4000000000000004</v>
      </c>
      <c r="H331" s="9">
        <f>IF(MONTH(Data!$E331)&lt;=6, YEAR(Data!$E331), YEAR(Data!$E331)+1)</f>
        <v>2023</v>
      </c>
      <c r="I331" s="9" t="str">
        <f>TEXT(Data!$E331,"DDDD")</f>
        <v>Saturday</v>
      </c>
      <c r="J331" s="9" t="s">
        <v>14</v>
      </c>
      <c r="K331" s="23">
        <f>ROUND(Data!$G331,0)</f>
        <v>4</v>
      </c>
    </row>
    <row r="332" spans="1:11" ht="14.25" customHeight="1" x14ac:dyDescent="0.3">
      <c r="A332" s="9" t="s">
        <v>366</v>
      </c>
      <c r="B332" s="9" t="s">
        <v>23</v>
      </c>
      <c r="C332" s="2">
        <v>49</v>
      </c>
      <c r="D332" s="12" t="s">
        <v>13</v>
      </c>
      <c r="E332" s="3">
        <v>45024</v>
      </c>
      <c r="F332" s="15">
        <v>172</v>
      </c>
      <c r="G332" s="18">
        <v>2.9</v>
      </c>
      <c r="H332" s="9">
        <f>IF(MONTH(Data!$E332)&lt;=6, YEAR(Data!$E332), YEAR(Data!$E332)+1)</f>
        <v>2023</v>
      </c>
      <c r="I332" s="9" t="str">
        <f>TEXT(Data!$E332,"DDDD")</f>
        <v>Saturday</v>
      </c>
      <c r="J332" s="9" t="s">
        <v>27</v>
      </c>
      <c r="K332" s="23">
        <f>ROUND(Data!$G332,0)</f>
        <v>3</v>
      </c>
    </row>
    <row r="333" spans="1:11" ht="14.25" customHeight="1" x14ac:dyDescent="0.3">
      <c r="A333" s="9" t="s">
        <v>367</v>
      </c>
      <c r="B333" s="9" t="s">
        <v>58</v>
      </c>
      <c r="C333" s="2">
        <v>8</v>
      </c>
      <c r="D333" s="12" t="s">
        <v>35</v>
      </c>
      <c r="E333" s="3">
        <v>45024</v>
      </c>
      <c r="F333" s="15">
        <v>20</v>
      </c>
      <c r="G333" s="18">
        <v>4.8</v>
      </c>
      <c r="H333" s="9">
        <f>IF(MONTH(Data!$E333)&lt;=6, YEAR(Data!$E333), YEAR(Data!$E333)+1)</f>
        <v>2023</v>
      </c>
      <c r="I333" s="9" t="str">
        <f>TEXT(Data!$E333,"DDDD")</f>
        <v>Saturday</v>
      </c>
      <c r="J333" s="9" t="s">
        <v>176</v>
      </c>
      <c r="K333" s="23">
        <f>ROUND(Data!$G333,0)</f>
        <v>5</v>
      </c>
    </row>
    <row r="334" spans="1:11" ht="14.25" customHeight="1" x14ac:dyDescent="0.3">
      <c r="A334" s="9" t="s">
        <v>368</v>
      </c>
      <c r="B334" s="9" t="s">
        <v>68</v>
      </c>
      <c r="C334" s="2">
        <v>157</v>
      </c>
      <c r="D334" s="12" t="s">
        <v>13</v>
      </c>
      <c r="E334" s="3">
        <v>45024</v>
      </c>
      <c r="F334" s="15">
        <v>72</v>
      </c>
      <c r="G334" s="18">
        <v>3.7</v>
      </c>
      <c r="H334" s="9">
        <f>IF(MONTH(Data!$E334)&lt;=6, YEAR(Data!$E334), YEAR(Data!$E334)+1)</f>
        <v>2023</v>
      </c>
      <c r="I334" s="9" t="str">
        <f>TEXT(Data!$E334,"DDDD")</f>
        <v>Saturday</v>
      </c>
      <c r="J334" s="9" t="s">
        <v>25</v>
      </c>
      <c r="K334" s="23">
        <f>ROUND(Data!$G334,0)</f>
        <v>4</v>
      </c>
    </row>
    <row r="335" spans="1:11" ht="14.25" customHeight="1" x14ac:dyDescent="0.3">
      <c r="A335" s="9" t="s">
        <v>369</v>
      </c>
      <c r="B335" s="9" t="s">
        <v>18</v>
      </c>
      <c r="C335" s="2">
        <v>74</v>
      </c>
      <c r="D335" s="12" t="s">
        <v>19</v>
      </c>
      <c r="E335" s="3">
        <v>45024</v>
      </c>
      <c r="F335" s="15">
        <v>32</v>
      </c>
      <c r="G335" s="18">
        <v>4.8</v>
      </c>
      <c r="H335" s="9">
        <f>IF(MONTH(Data!$E335)&lt;=6, YEAR(Data!$E335), YEAR(Data!$E335)+1)</f>
        <v>2023</v>
      </c>
      <c r="I335" s="9" t="str">
        <f>TEXT(Data!$E335,"DDDD")</f>
        <v>Saturday</v>
      </c>
      <c r="J335" s="9" t="s">
        <v>14</v>
      </c>
      <c r="K335" s="23">
        <f>ROUND(Data!$G335,0)</f>
        <v>5</v>
      </c>
    </row>
    <row r="336" spans="1:11" ht="14.25" customHeight="1" x14ac:dyDescent="0.3">
      <c r="A336" s="9" t="s">
        <v>370</v>
      </c>
      <c r="B336" s="9" t="s">
        <v>46</v>
      </c>
      <c r="C336" s="2">
        <v>72</v>
      </c>
      <c r="D336" s="12" t="s">
        <v>31</v>
      </c>
      <c r="E336" s="3">
        <v>45024</v>
      </c>
      <c r="F336" s="15">
        <v>140</v>
      </c>
      <c r="G336" s="18">
        <v>3.2</v>
      </c>
      <c r="H336" s="9">
        <f>IF(MONTH(Data!$E336)&lt;=6, YEAR(Data!$E336), YEAR(Data!$E336)+1)</f>
        <v>2023</v>
      </c>
      <c r="I336" s="9" t="str">
        <f>TEXT(Data!$E336,"DDDD")</f>
        <v>Saturday</v>
      </c>
      <c r="J336" s="9" t="s">
        <v>14</v>
      </c>
      <c r="K336" s="23">
        <f>ROUND(Data!$G336,0)</f>
        <v>3</v>
      </c>
    </row>
    <row r="337" spans="1:11" ht="14.25" customHeight="1" x14ac:dyDescent="0.3">
      <c r="A337" s="9" t="s">
        <v>371</v>
      </c>
      <c r="B337" s="9" t="s">
        <v>18</v>
      </c>
      <c r="C337" s="2">
        <v>79</v>
      </c>
      <c r="D337" s="12" t="s">
        <v>19</v>
      </c>
      <c r="E337" s="3">
        <v>45025</v>
      </c>
      <c r="F337" s="15">
        <v>120</v>
      </c>
      <c r="G337" s="18">
        <v>4.9000000000000004</v>
      </c>
      <c r="H337" s="9">
        <f>IF(MONTH(Data!$E337)&lt;=6, YEAR(Data!$E337), YEAR(Data!$E337)+1)</f>
        <v>2023</v>
      </c>
      <c r="I337" s="9" t="str">
        <f>TEXT(Data!$E337,"DDDD")</f>
        <v>Sunday</v>
      </c>
      <c r="J337" s="9" t="s">
        <v>14</v>
      </c>
      <c r="K337" s="23">
        <f>ROUND(Data!$G337,0)</f>
        <v>5</v>
      </c>
    </row>
    <row r="338" spans="1:11" ht="14.25" customHeight="1" x14ac:dyDescent="0.3">
      <c r="A338" s="9" t="s">
        <v>372</v>
      </c>
      <c r="B338" s="9" t="s">
        <v>55</v>
      </c>
      <c r="C338" s="2">
        <v>23</v>
      </c>
      <c r="D338" s="12" t="s">
        <v>19</v>
      </c>
      <c r="E338" s="3">
        <v>45025</v>
      </c>
      <c r="F338" s="15">
        <v>86</v>
      </c>
      <c r="G338" s="18">
        <v>2.2000000000000002</v>
      </c>
      <c r="H338" s="9">
        <f>IF(MONTH(Data!$E338)&lt;=6, YEAR(Data!$E338), YEAR(Data!$E338)+1)</f>
        <v>2023</v>
      </c>
      <c r="I338" s="9" t="str">
        <f>TEXT(Data!$E338,"DDDD")</f>
        <v>Sunday</v>
      </c>
      <c r="J338" s="9" t="s">
        <v>47</v>
      </c>
      <c r="K338" s="23">
        <f>ROUND(Data!$G338,0)</f>
        <v>2</v>
      </c>
    </row>
    <row r="339" spans="1:11" ht="14.25" customHeight="1" x14ac:dyDescent="0.3">
      <c r="A339" s="9" t="s">
        <v>373</v>
      </c>
      <c r="B339" s="9" t="s">
        <v>16</v>
      </c>
      <c r="C339" s="2">
        <v>69</v>
      </c>
      <c r="D339" s="12" t="s">
        <v>19</v>
      </c>
      <c r="E339" s="3">
        <v>45025</v>
      </c>
      <c r="F339" s="15">
        <v>132</v>
      </c>
      <c r="G339" s="18">
        <v>5</v>
      </c>
      <c r="H339" s="9">
        <f>IF(MONTH(Data!$E339)&lt;=6, YEAR(Data!$E339), YEAR(Data!$E339)+1)</f>
        <v>2023</v>
      </c>
      <c r="I339" s="9" t="str">
        <f>TEXT(Data!$E339,"DDDD")</f>
        <v>Sunday</v>
      </c>
      <c r="J339" s="9" t="s">
        <v>14</v>
      </c>
      <c r="K339" s="23">
        <f>ROUND(Data!$G339,0)</f>
        <v>5</v>
      </c>
    </row>
    <row r="340" spans="1:11" ht="14.25" customHeight="1" x14ac:dyDescent="0.3">
      <c r="A340" s="9" t="s">
        <v>374</v>
      </c>
      <c r="B340" s="9" t="s">
        <v>50</v>
      </c>
      <c r="C340" s="2">
        <v>64</v>
      </c>
      <c r="D340" s="12" t="s">
        <v>19</v>
      </c>
      <c r="E340" s="3">
        <v>45025</v>
      </c>
      <c r="F340" s="15">
        <v>80</v>
      </c>
      <c r="G340" s="18">
        <v>3.3</v>
      </c>
      <c r="H340" s="9">
        <f>IF(MONTH(Data!$E340)&lt;=6, YEAR(Data!$E340), YEAR(Data!$E340)+1)</f>
        <v>2023</v>
      </c>
      <c r="I340" s="9" t="str">
        <f>TEXT(Data!$E340,"DDDD")</f>
        <v>Sunday</v>
      </c>
      <c r="J340" s="9" t="s">
        <v>14</v>
      </c>
      <c r="K340" s="23">
        <f>ROUND(Data!$G340,0)</f>
        <v>3</v>
      </c>
    </row>
    <row r="341" spans="1:11" ht="14.25" customHeight="1" x14ac:dyDescent="0.3">
      <c r="A341" s="9" t="s">
        <v>375</v>
      </c>
      <c r="B341" s="9" t="s">
        <v>40</v>
      </c>
      <c r="C341" s="2">
        <v>47</v>
      </c>
      <c r="D341" s="12" t="s">
        <v>13</v>
      </c>
      <c r="E341" s="3">
        <v>45025</v>
      </c>
      <c r="F341" s="15">
        <v>132</v>
      </c>
      <c r="G341" s="18">
        <v>3.7</v>
      </c>
      <c r="H341" s="9">
        <f>IF(MONTH(Data!$E341)&lt;=6, YEAR(Data!$E341), YEAR(Data!$E341)+1)</f>
        <v>2023</v>
      </c>
      <c r="I341" s="9" t="str">
        <f>TEXT(Data!$E341,"DDDD")</f>
        <v>Sunday</v>
      </c>
      <c r="J341" s="9" t="s">
        <v>27</v>
      </c>
      <c r="K341" s="23">
        <f>ROUND(Data!$G341,0)</f>
        <v>4</v>
      </c>
    </row>
    <row r="342" spans="1:11" ht="14.25" customHeight="1" x14ac:dyDescent="0.3">
      <c r="A342" s="9" t="s">
        <v>376</v>
      </c>
      <c r="B342" s="9" t="s">
        <v>18</v>
      </c>
      <c r="C342" s="2">
        <v>55</v>
      </c>
      <c r="D342" s="12" t="s">
        <v>31</v>
      </c>
      <c r="E342" s="3">
        <v>45025</v>
      </c>
      <c r="F342" s="15">
        <v>27</v>
      </c>
      <c r="G342" s="18">
        <v>3.7</v>
      </c>
      <c r="H342" s="9">
        <f>IF(MONTH(Data!$E342)&lt;=6, YEAR(Data!$E342), YEAR(Data!$E342)+1)</f>
        <v>2023</v>
      </c>
      <c r="I342" s="9" t="str">
        <f>TEXT(Data!$E342,"DDDD")</f>
        <v>Sunday</v>
      </c>
      <c r="J342" s="9" t="s">
        <v>27</v>
      </c>
      <c r="K342" s="23">
        <f>ROUND(Data!$G342,0)</f>
        <v>4</v>
      </c>
    </row>
    <row r="343" spans="1:11" ht="14.25" customHeight="1" x14ac:dyDescent="0.3">
      <c r="A343" s="9" t="s">
        <v>377</v>
      </c>
      <c r="B343" s="9" t="s">
        <v>34</v>
      </c>
      <c r="C343" s="2">
        <v>104</v>
      </c>
      <c r="D343" s="12" t="s">
        <v>31</v>
      </c>
      <c r="E343" s="3">
        <v>45026</v>
      </c>
      <c r="F343" s="15">
        <v>68</v>
      </c>
      <c r="G343" s="18">
        <v>3.6</v>
      </c>
      <c r="H343" s="9">
        <f>IF(MONTH(Data!$E343)&lt;=6, YEAR(Data!$E343), YEAR(Data!$E343)+1)</f>
        <v>2023</v>
      </c>
      <c r="I343" s="9" t="str">
        <f>TEXT(Data!$E343,"DDDD")</f>
        <v>Monday</v>
      </c>
      <c r="J343" s="9" t="s">
        <v>14</v>
      </c>
      <c r="K343" s="23">
        <f>ROUND(Data!$G343,0)</f>
        <v>4</v>
      </c>
    </row>
    <row r="344" spans="1:11" ht="14.25" customHeight="1" x14ac:dyDescent="0.3">
      <c r="A344" s="9" t="s">
        <v>378</v>
      </c>
      <c r="B344" s="9" t="s">
        <v>40</v>
      </c>
      <c r="C344" s="2">
        <v>116</v>
      </c>
      <c r="D344" s="12" t="s">
        <v>19</v>
      </c>
      <c r="E344" s="3">
        <v>45026</v>
      </c>
      <c r="F344" s="15">
        <v>22</v>
      </c>
      <c r="G344" s="18">
        <v>4.7</v>
      </c>
      <c r="H344" s="9">
        <f>IF(MONTH(Data!$E344)&lt;=6, YEAR(Data!$E344), YEAR(Data!$E344)+1)</f>
        <v>2023</v>
      </c>
      <c r="I344" s="9" t="str">
        <f>TEXT(Data!$E344,"DDDD")</f>
        <v>Monday</v>
      </c>
      <c r="J344" s="9" t="s">
        <v>14</v>
      </c>
      <c r="K344" s="23">
        <f>ROUND(Data!$G344,0)</f>
        <v>5</v>
      </c>
    </row>
    <row r="345" spans="1:11" ht="14.25" customHeight="1" x14ac:dyDescent="0.3">
      <c r="A345" s="9" t="s">
        <v>379</v>
      </c>
      <c r="B345" s="9" t="s">
        <v>55</v>
      </c>
      <c r="C345" s="2">
        <v>99</v>
      </c>
      <c r="D345" s="12" t="s">
        <v>31</v>
      </c>
      <c r="E345" s="3">
        <v>45026</v>
      </c>
      <c r="F345" s="15">
        <v>42</v>
      </c>
      <c r="G345" s="18">
        <v>3.1</v>
      </c>
      <c r="H345" s="9">
        <f>IF(MONTH(Data!$E345)&lt;=6, YEAR(Data!$E345), YEAR(Data!$E345)+1)</f>
        <v>2023</v>
      </c>
      <c r="I345" s="9" t="str">
        <f>TEXT(Data!$E345,"DDDD")</f>
        <v>Monday</v>
      </c>
      <c r="J345" s="9" t="s">
        <v>14</v>
      </c>
      <c r="K345" s="23">
        <f>ROUND(Data!$G345,0)</f>
        <v>3</v>
      </c>
    </row>
    <row r="346" spans="1:11" ht="14.25" customHeight="1" x14ac:dyDescent="0.3">
      <c r="A346" s="9" t="s">
        <v>380</v>
      </c>
      <c r="B346" s="9" t="s">
        <v>34</v>
      </c>
      <c r="C346" s="2">
        <v>84</v>
      </c>
      <c r="D346" s="12" t="s">
        <v>31</v>
      </c>
      <c r="E346" s="3">
        <v>45027</v>
      </c>
      <c r="F346" s="15">
        <v>38</v>
      </c>
      <c r="G346" s="18">
        <v>3.3</v>
      </c>
      <c r="H346" s="9">
        <f>IF(MONTH(Data!$E346)&lt;=6, YEAR(Data!$E346), YEAR(Data!$E346)+1)</f>
        <v>2023</v>
      </c>
      <c r="I346" s="9" t="str">
        <f>TEXT(Data!$E346,"DDDD")</f>
        <v>Tuesday</v>
      </c>
      <c r="J346" s="9" t="s">
        <v>14</v>
      </c>
      <c r="K346" s="23">
        <f>ROUND(Data!$G346,0)</f>
        <v>3</v>
      </c>
    </row>
    <row r="347" spans="1:11" ht="14.25" customHeight="1" x14ac:dyDescent="0.3">
      <c r="A347" s="9" t="s">
        <v>381</v>
      </c>
      <c r="B347" s="9" t="s">
        <v>58</v>
      </c>
      <c r="C347" s="2">
        <v>159</v>
      </c>
      <c r="D347" s="12" t="s">
        <v>31</v>
      </c>
      <c r="E347" s="3">
        <v>45027</v>
      </c>
      <c r="F347" s="15">
        <v>42</v>
      </c>
      <c r="G347" s="18">
        <v>4.5</v>
      </c>
      <c r="H347" s="9">
        <f>IF(MONTH(Data!$E347)&lt;=6, YEAR(Data!$E347), YEAR(Data!$E347)+1)</f>
        <v>2023</v>
      </c>
      <c r="I347" s="9" t="str">
        <f>TEXT(Data!$E347,"DDDD")</f>
        <v>Tuesday</v>
      </c>
      <c r="J347" s="9" t="s">
        <v>25</v>
      </c>
      <c r="K347" s="23">
        <f>ROUND(Data!$G347,0)</f>
        <v>5</v>
      </c>
    </row>
    <row r="348" spans="1:11" ht="14.25" customHeight="1" x14ac:dyDescent="0.3">
      <c r="A348" s="9" t="s">
        <v>382</v>
      </c>
      <c r="B348" s="9" t="s">
        <v>29</v>
      </c>
      <c r="C348" s="2">
        <v>25</v>
      </c>
      <c r="D348" s="12" t="s">
        <v>13</v>
      </c>
      <c r="E348" s="3">
        <v>45027</v>
      </c>
      <c r="F348" s="15">
        <v>75</v>
      </c>
      <c r="G348" s="18">
        <v>3.9</v>
      </c>
      <c r="H348" s="9">
        <f>IF(MONTH(Data!$E348)&lt;=6, YEAR(Data!$E348), YEAR(Data!$E348)+1)</f>
        <v>2023</v>
      </c>
      <c r="I348" s="9" t="str">
        <f>TEXT(Data!$E348,"DDDD")</f>
        <v>Tuesday</v>
      </c>
      <c r="J348" s="9" t="s">
        <v>47</v>
      </c>
      <c r="K348" s="23">
        <f>ROUND(Data!$G348,0)</f>
        <v>4</v>
      </c>
    </row>
    <row r="349" spans="1:11" ht="14.25" customHeight="1" x14ac:dyDescent="0.3">
      <c r="A349" s="9" t="s">
        <v>383</v>
      </c>
      <c r="B349" s="9" t="s">
        <v>58</v>
      </c>
      <c r="C349" s="2">
        <v>53</v>
      </c>
      <c r="D349" s="12" t="s">
        <v>35</v>
      </c>
      <c r="E349" s="3">
        <v>45028</v>
      </c>
      <c r="F349" s="15">
        <v>23</v>
      </c>
      <c r="G349" s="18">
        <v>4.9000000000000004</v>
      </c>
      <c r="H349" s="9">
        <f>IF(MONTH(Data!$E349)&lt;=6, YEAR(Data!$E349), YEAR(Data!$E349)+1)</f>
        <v>2023</v>
      </c>
      <c r="I349" s="9" t="str">
        <f>TEXT(Data!$E349,"DDDD")</f>
        <v>Wednesday</v>
      </c>
      <c r="J349" s="9" t="s">
        <v>27</v>
      </c>
      <c r="K349" s="23">
        <f>ROUND(Data!$G349,0)</f>
        <v>5</v>
      </c>
    </row>
    <row r="350" spans="1:11" ht="14.25" customHeight="1" x14ac:dyDescent="0.3">
      <c r="A350" s="9" t="s">
        <v>384</v>
      </c>
      <c r="B350" s="9" t="s">
        <v>58</v>
      </c>
      <c r="C350" s="2">
        <v>89</v>
      </c>
      <c r="D350" s="12" t="s">
        <v>13</v>
      </c>
      <c r="E350" s="3">
        <v>45028</v>
      </c>
      <c r="F350" s="15">
        <v>200</v>
      </c>
      <c r="G350" s="18">
        <v>4.8</v>
      </c>
      <c r="H350" s="9">
        <f>IF(MONTH(Data!$E350)&lt;=6, YEAR(Data!$E350), YEAR(Data!$E350)+1)</f>
        <v>2023</v>
      </c>
      <c r="I350" s="9" t="str">
        <f>TEXT(Data!$E350,"DDDD")</f>
        <v>Wednesday</v>
      </c>
      <c r="J350" s="9" t="s">
        <v>14</v>
      </c>
      <c r="K350" s="23">
        <f>ROUND(Data!$G350,0)</f>
        <v>5</v>
      </c>
    </row>
    <row r="351" spans="1:11" ht="14.25" customHeight="1" x14ac:dyDescent="0.3">
      <c r="A351" s="9" t="s">
        <v>385</v>
      </c>
      <c r="B351" s="9" t="s">
        <v>21</v>
      </c>
      <c r="C351" s="2">
        <v>73</v>
      </c>
      <c r="D351" s="12" t="s">
        <v>19</v>
      </c>
      <c r="E351" s="3">
        <v>45029</v>
      </c>
      <c r="F351" s="15">
        <v>45</v>
      </c>
      <c r="G351" s="18">
        <v>3.6</v>
      </c>
      <c r="H351" s="9">
        <f>IF(MONTH(Data!$E351)&lt;=6, YEAR(Data!$E351), YEAR(Data!$E351)+1)</f>
        <v>2023</v>
      </c>
      <c r="I351" s="9" t="str">
        <f>TEXT(Data!$E351,"DDDD")</f>
        <v>Thursday</v>
      </c>
      <c r="J351" s="9" t="s">
        <v>14</v>
      </c>
      <c r="K351" s="23">
        <f>ROUND(Data!$G351,0)</f>
        <v>4</v>
      </c>
    </row>
    <row r="352" spans="1:11" ht="14.25" customHeight="1" x14ac:dyDescent="0.3">
      <c r="A352" s="9" t="s">
        <v>386</v>
      </c>
      <c r="B352" s="9" t="s">
        <v>55</v>
      </c>
      <c r="C352" s="2">
        <v>50</v>
      </c>
      <c r="D352" s="12" t="s">
        <v>19</v>
      </c>
      <c r="E352" s="3">
        <v>45029</v>
      </c>
      <c r="F352" s="15">
        <v>105</v>
      </c>
      <c r="G352" s="18">
        <v>3.5</v>
      </c>
      <c r="H352" s="9">
        <f>IF(MONTH(Data!$E352)&lt;=6, YEAR(Data!$E352), YEAR(Data!$E352)+1)</f>
        <v>2023</v>
      </c>
      <c r="I352" s="9" t="str">
        <f>TEXT(Data!$E352,"DDDD")</f>
        <v>Thursday</v>
      </c>
      <c r="J352" s="9" t="s">
        <v>27</v>
      </c>
      <c r="K352" s="23">
        <f>ROUND(Data!$G352,0)</f>
        <v>4</v>
      </c>
    </row>
    <row r="353" spans="1:11" ht="14.25" customHeight="1" x14ac:dyDescent="0.3">
      <c r="A353" s="9" t="s">
        <v>387</v>
      </c>
      <c r="B353" s="9" t="s">
        <v>23</v>
      </c>
      <c r="C353" s="2">
        <v>98</v>
      </c>
      <c r="D353" s="12" t="s">
        <v>19</v>
      </c>
      <c r="E353" s="3">
        <v>45029</v>
      </c>
      <c r="F353" s="15">
        <v>22</v>
      </c>
      <c r="G353" s="18">
        <v>3.8</v>
      </c>
      <c r="H353" s="9">
        <f>IF(MONTH(Data!$E353)&lt;=6, YEAR(Data!$E353), YEAR(Data!$E353)+1)</f>
        <v>2023</v>
      </c>
      <c r="I353" s="9" t="str">
        <f>TEXT(Data!$E353,"DDDD")</f>
        <v>Thursday</v>
      </c>
      <c r="J353" s="9" t="s">
        <v>14</v>
      </c>
      <c r="K353" s="23">
        <f>ROUND(Data!$G353,0)</f>
        <v>4</v>
      </c>
    </row>
    <row r="354" spans="1:11" ht="14.25" customHeight="1" x14ac:dyDescent="0.3">
      <c r="A354" s="9" t="s">
        <v>388</v>
      </c>
      <c r="B354" s="9" t="s">
        <v>38</v>
      </c>
      <c r="C354" s="2">
        <v>114</v>
      </c>
      <c r="D354" s="12" t="s">
        <v>31</v>
      </c>
      <c r="E354" s="3">
        <v>45030</v>
      </c>
      <c r="F354" s="15">
        <v>126</v>
      </c>
      <c r="G354" s="18">
        <v>4.4000000000000004</v>
      </c>
      <c r="H354" s="9">
        <f>IF(MONTH(Data!$E354)&lt;=6, YEAR(Data!$E354), YEAR(Data!$E354)+1)</f>
        <v>2023</v>
      </c>
      <c r="I354" s="9" t="str">
        <f>TEXT(Data!$E354,"DDDD")</f>
        <v>Friday</v>
      </c>
      <c r="J354" s="9" t="s">
        <v>14</v>
      </c>
      <c r="K354" s="23">
        <f>ROUND(Data!$G354,0)</f>
        <v>4</v>
      </c>
    </row>
    <row r="355" spans="1:11" ht="14.25" customHeight="1" x14ac:dyDescent="0.3">
      <c r="A355" s="9" t="s">
        <v>389</v>
      </c>
      <c r="B355" s="9" t="s">
        <v>50</v>
      </c>
      <c r="C355" s="2">
        <v>67</v>
      </c>
      <c r="D355" s="12" t="s">
        <v>31</v>
      </c>
      <c r="E355" s="3">
        <v>45030</v>
      </c>
      <c r="F355" s="15">
        <v>35</v>
      </c>
      <c r="G355" s="18">
        <v>3</v>
      </c>
      <c r="H355" s="9">
        <f>IF(MONTH(Data!$E355)&lt;=6, YEAR(Data!$E355), YEAR(Data!$E355)+1)</f>
        <v>2023</v>
      </c>
      <c r="I355" s="9" t="str">
        <f>TEXT(Data!$E355,"DDDD")</f>
        <v>Friday</v>
      </c>
      <c r="J355" s="9" t="s">
        <v>14</v>
      </c>
      <c r="K355" s="23">
        <f>ROUND(Data!$G355,0)</f>
        <v>3</v>
      </c>
    </row>
    <row r="356" spans="1:11" ht="14.25" customHeight="1" x14ac:dyDescent="0.3">
      <c r="A356" s="9" t="s">
        <v>390</v>
      </c>
      <c r="B356" s="9" t="s">
        <v>18</v>
      </c>
      <c r="C356" s="2">
        <v>91</v>
      </c>
      <c r="D356" s="12" t="s">
        <v>19</v>
      </c>
      <c r="E356" s="3">
        <v>45030</v>
      </c>
      <c r="F356" s="15">
        <v>84</v>
      </c>
      <c r="G356" s="18">
        <v>4.5</v>
      </c>
      <c r="H356" s="9">
        <f>IF(MONTH(Data!$E356)&lt;=6, YEAR(Data!$E356), YEAR(Data!$E356)+1)</f>
        <v>2023</v>
      </c>
      <c r="I356" s="9" t="str">
        <f>TEXT(Data!$E356,"DDDD")</f>
        <v>Friday</v>
      </c>
      <c r="J356" s="9" t="s">
        <v>14</v>
      </c>
      <c r="K356" s="23">
        <f>ROUND(Data!$G356,0)</f>
        <v>5</v>
      </c>
    </row>
    <row r="357" spans="1:11" ht="14.25" customHeight="1" x14ac:dyDescent="0.3">
      <c r="A357" s="9" t="s">
        <v>391</v>
      </c>
      <c r="B357" s="9" t="s">
        <v>88</v>
      </c>
      <c r="C357" s="2">
        <v>67</v>
      </c>
      <c r="D357" s="12" t="s">
        <v>19</v>
      </c>
      <c r="E357" s="3">
        <v>45031</v>
      </c>
      <c r="F357" s="15">
        <v>172</v>
      </c>
      <c r="G357" s="18">
        <v>4.5</v>
      </c>
      <c r="H357" s="9">
        <f>IF(MONTH(Data!$E357)&lt;=6, YEAR(Data!$E357), YEAR(Data!$E357)+1)</f>
        <v>2023</v>
      </c>
      <c r="I357" s="9" t="str">
        <f>TEXT(Data!$E357,"DDDD")</f>
        <v>Saturday</v>
      </c>
      <c r="J357" s="9" t="s">
        <v>14</v>
      </c>
      <c r="K357" s="23">
        <f>ROUND(Data!$G357,0)</f>
        <v>5</v>
      </c>
    </row>
    <row r="358" spans="1:11" ht="14.25" customHeight="1" x14ac:dyDescent="0.3">
      <c r="A358" s="9" t="s">
        <v>392</v>
      </c>
      <c r="B358" s="9" t="s">
        <v>38</v>
      </c>
      <c r="C358" s="2">
        <v>139</v>
      </c>
      <c r="D358" s="12" t="s">
        <v>13</v>
      </c>
      <c r="E358" s="3">
        <v>45031</v>
      </c>
      <c r="F358" s="15">
        <v>114</v>
      </c>
      <c r="G358" s="18">
        <v>4</v>
      </c>
      <c r="H358" s="9">
        <f>IF(MONTH(Data!$E358)&lt;=6, YEAR(Data!$E358), YEAR(Data!$E358)+1)</f>
        <v>2023</v>
      </c>
      <c r="I358" s="9" t="str">
        <f>TEXT(Data!$E358,"DDDD")</f>
        <v>Saturday</v>
      </c>
      <c r="J358" s="9" t="s">
        <v>25</v>
      </c>
      <c r="K358" s="23">
        <f>ROUND(Data!$G358,0)</f>
        <v>4</v>
      </c>
    </row>
    <row r="359" spans="1:11" ht="14.25" customHeight="1" x14ac:dyDescent="0.3">
      <c r="A359" s="9" t="s">
        <v>393</v>
      </c>
      <c r="B359" s="9" t="s">
        <v>88</v>
      </c>
      <c r="C359" s="2">
        <v>102</v>
      </c>
      <c r="D359" s="12" t="s">
        <v>13</v>
      </c>
      <c r="E359" s="3">
        <v>45031</v>
      </c>
      <c r="F359" s="15">
        <v>60</v>
      </c>
      <c r="G359" s="18">
        <v>3.8</v>
      </c>
      <c r="H359" s="9">
        <f>IF(MONTH(Data!$E359)&lt;=6, YEAR(Data!$E359), YEAR(Data!$E359)+1)</f>
        <v>2023</v>
      </c>
      <c r="I359" s="9" t="str">
        <f>TEXT(Data!$E359,"DDDD")</f>
        <v>Saturday</v>
      </c>
      <c r="J359" s="9" t="s">
        <v>14</v>
      </c>
      <c r="K359" s="23">
        <f>ROUND(Data!$G359,0)</f>
        <v>4</v>
      </c>
    </row>
    <row r="360" spans="1:11" ht="14.25" customHeight="1" x14ac:dyDescent="0.3">
      <c r="A360" s="9" t="s">
        <v>394</v>
      </c>
      <c r="B360" s="9" t="s">
        <v>68</v>
      </c>
      <c r="C360" s="2">
        <v>108</v>
      </c>
      <c r="D360" s="12" t="s">
        <v>24</v>
      </c>
      <c r="E360" s="3">
        <v>45031</v>
      </c>
      <c r="F360" s="15">
        <v>26</v>
      </c>
      <c r="G360" s="18">
        <v>3.3</v>
      </c>
      <c r="H360" s="9">
        <f>IF(MONTH(Data!$E360)&lt;=6, YEAR(Data!$E360), YEAR(Data!$E360)+1)</f>
        <v>2023</v>
      </c>
      <c r="I360" s="9" t="str">
        <f>TEXT(Data!$E360,"DDDD")</f>
        <v>Saturday</v>
      </c>
      <c r="J360" s="9" t="s">
        <v>14</v>
      </c>
      <c r="K360" s="23">
        <f>ROUND(Data!$G360,0)</f>
        <v>3</v>
      </c>
    </row>
    <row r="361" spans="1:11" ht="14.25" customHeight="1" x14ac:dyDescent="0.3">
      <c r="A361" s="9" t="s">
        <v>395</v>
      </c>
      <c r="B361" s="9" t="s">
        <v>29</v>
      </c>
      <c r="C361" s="2">
        <v>66</v>
      </c>
      <c r="D361" s="12" t="s">
        <v>19</v>
      </c>
      <c r="E361" s="3">
        <v>45031</v>
      </c>
      <c r="F361" s="15">
        <v>210</v>
      </c>
      <c r="G361" s="18">
        <v>4.3</v>
      </c>
      <c r="H361" s="9">
        <f>IF(MONTH(Data!$E361)&lt;=6, YEAR(Data!$E361), YEAR(Data!$E361)+1)</f>
        <v>2023</v>
      </c>
      <c r="I361" s="9" t="str">
        <f>TEXT(Data!$E361,"DDDD")</f>
        <v>Saturday</v>
      </c>
      <c r="J361" s="9" t="s">
        <v>14</v>
      </c>
      <c r="K361" s="23">
        <f>ROUND(Data!$G361,0)</f>
        <v>4</v>
      </c>
    </row>
    <row r="362" spans="1:11" ht="14.25" customHeight="1" x14ac:dyDescent="0.3">
      <c r="A362" s="9" t="s">
        <v>396</v>
      </c>
      <c r="B362" s="9" t="s">
        <v>46</v>
      </c>
      <c r="C362" s="2">
        <v>85</v>
      </c>
      <c r="D362" s="12" t="s">
        <v>13</v>
      </c>
      <c r="E362" s="3">
        <v>45031</v>
      </c>
      <c r="F362" s="15">
        <v>129</v>
      </c>
      <c r="G362" s="18">
        <v>4.2</v>
      </c>
      <c r="H362" s="9">
        <f>IF(MONTH(Data!$E362)&lt;=6, YEAR(Data!$E362), YEAR(Data!$E362)+1)</f>
        <v>2023</v>
      </c>
      <c r="I362" s="9" t="str">
        <f>TEXT(Data!$E362,"DDDD")</f>
        <v>Saturday</v>
      </c>
      <c r="J362" s="9" t="s">
        <v>14</v>
      </c>
      <c r="K362" s="23">
        <f>ROUND(Data!$G362,0)</f>
        <v>4</v>
      </c>
    </row>
    <row r="363" spans="1:11" ht="14.25" customHeight="1" x14ac:dyDescent="0.3">
      <c r="A363" s="9" t="s">
        <v>397</v>
      </c>
      <c r="B363" s="9" t="s">
        <v>50</v>
      </c>
      <c r="C363" s="2">
        <v>55</v>
      </c>
      <c r="D363" s="12" t="s">
        <v>24</v>
      </c>
      <c r="E363" s="3">
        <v>45031</v>
      </c>
      <c r="F363" s="15">
        <v>215</v>
      </c>
      <c r="G363" s="18">
        <v>4.3</v>
      </c>
      <c r="H363" s="9">
        <f>IF(MONTH(Data!$E363)&lt;=6, YEAR(Data!$E363), YEAR(Data!$E363)+1)</f>
        <v>2023</v>
      </c>
      <c r="I363" s="9" t="str">
        <f>TEXT(Data!$E363,"DDDD")</f>
        <v>Saturday</v>
      </c>
      <c r="J363" s="9" t="s">
        <v>27</v>
      </c>
      <c r="K363" s="23">
        <f>ROUND(Data!$G363,0)</f>
        <v>4</v>
      </c>
    </row>
    <row r="364" spans="1:11" ht="14.25" customHeight="1" x14ac:dyDescent="0.3">
      <c r="A364" s="9" t="s">
        <v>398</v>
      </c>
      <c r="B364" s="9" t="s">
        <v>68</v>
      </c>
      <c r="C364" s="2">
        <v>17</v>
      </c>
      <c r="D364" s="12" t="s">
        <v>35</v>
      </c>
      <c r="E364" s="3">
        <v>45031</v>
      </c>
      <c r="F364" s="15">
        <v>69</v>
      </c>
      <c r="G364" s="18">
        <v>4.5999999999999996</v>
      </c>
      <c r="H364" s="9">
        <f>IF(MONTH(Data!$E364)&lt;=6, YEAR(Data!$E364), YEAR(Data!$E364)+1)</f>
        <v>2023</v>
      </c>
      <c r="I364" s="9" t="str">
        <f>TEXT(Data!$E364,"DDDD")</f>
        <v>Saturday</v>
      </c>
      <c r="J364" s="9" t="s">
        <v>47</v>
      </c>
      <c r="K364" s="23">
        <f>ROUND(Data!$G364,0)</f>
        <v>5</v>
      </c>
    </row>
    <row r="365" spans="1:11" ht="14.25" customHeight="1" x14ac:dyDescent="0.3">
      <c r="A365" s="9" t="s">
        <v>399</v>
      </c>
      <c r="B365" s="9" t="s">
        <v>50</v>
      </c>
      <c r="C365" s="2">
        <v>128</v>
      </c>
      <c r="D365" s="12" t="s">
        <v>35</v>
      </c>
      <c r="E365" s="3">
        <v>45031</v>
      </c>
      <c r="F365" s="15">
        <v>140</v>
      </c>
      <c r="G365" s="18">
        <v>3</v>
      </c>
      <c r="H365" s="9">
        <f>IF(MONTH(Data!$E365)&lt;=6, YEAR(Data!$E365), YEAR(Data!$E365)+1)</f>
        <v>2023</v>
      </c>
      <c r="I365" s="9" t="str">
        <f>TEXT(Data!$E365,"DDDD")</f>
        <v>Saturday</v>
      </c>
      <c r="J365" s="9" t="s">
        <v>25</v>
      </c>
      <c r="K365" s="23">
        <f>ROUND(Data!$G365,0)</f>
        <v>3</v>
      </c>
    </row>
    <row r="366" spans="1:11" ht="14.25" customHeight="1" x14ac:dyDescent="0.3">
      <c r="A366" s="9" t="s">
        <v>400</v>
      </c>
      <c r="B366" s="9" t="s">
        <v>55</v>
      </c>
      <c r="C366" s="2">
        <v>45</v>
      </c>
      <c r="D366" s="12" t="s">
        <v>24</v>
      </c>
      <c r="E366" s="3">
        <v>45032</v>
      </c>
      <c r="F366" s="15">
        <v>156</v>
      </c>
      <c r="G366" s="18">
        <v>2.7</v>
      </c>
      <c r="H366" s="9">
        <f>IF(MONTH(Data!$E366)&lt;=6, YEAR(Data!$E366), YEAR(Data!$E366)+1)</f>
        <v>2023</v>
      </c>
      <c r="I366" s="9" t="str">
        <f>TEXT(Data!$E366,"DDDD")</f>
        <v>Sunday</v>
      </c>
      <c r="J366" s="9" t="s">
        <v>27</v>
      </c>
      <c r="K366" s="23">
        <f>ROUND(Data!$G366,0)</f>
        <v>3</v>
      </c>
    </row>
    <row r="367" spans="1:11" ht="14.25" customHeight="1" x14ac:dyDescent="0.3">
      <c r="A367" s="9" t="s">
        <v>401</v>
      </c>
      <c r="B367" s="9" t="s">
        <v>68</v>
      </c>
      <c r="C367" s="2">
        <v>41</v>
      </c>
      <c r="D367" s="12" t="s">
        <v>35</v>
      </c>
      <c r="E367" s="3">
        <v>45032</v>
      </c>
      <c r="F367" s="15">
        <v>164</v>
      </c>
      <c r="G367" s="18">
        <v>3.1</v>
      </c>
      <c r="H367" s="9">
        <f>IF(MONTH(Data!$E367)&lt;=6, YEAR(Data!$E367), YEAR(Data!$E367)+1)</f>
        <v>2023</v>
      </c>
      <c r="I367" s="9" t="str">
        <f>TEXT(Data!$E367,"DDDD")</f>
        <v>Sunday</v>
      </c>
      <c r="J367" s="9" t="s">
        <v>27</v>
      </c>
      <c r="K367" s="23">
        <f>ROUND(Data!$G367,0)</f>
        <v>3</v>
      </c>
    </row>
    <row r="368" spans="1:11" ht="14.25" customHeight="1" x14ac:dyDescent="0.3">
      <c r="A368" s="9" t="s">
        <v>402</v>
      </c>
      <c r="B368" s="9" t="s">
        <v>40</v>
      </c>
      <c r="C368" s="2">
        <v>49</v>
      </c>
      <c r="D368" s="12" t="s">
        <v>35</v>
      </c>
      <c r="E368" s="3">
        <v>45032</v>
      </c>
      <c r="F368" s="15">
        <v>195</v>
      </c>
      <c r="G368" s="18">
        <v>2.6</v>
      </c>
      <c r="H368" s="9">
        <f>IF(MONTH(Data!$E368)&lt;=6, YEAR(Data!$E368), YEAR(Data!$E368)+1)</f>
        <v>2023</v>
      </c>
      <c r="I368" s="9" t="str">
        <f>TEXT(Data!$E368,"DDDD")</f>
        <v>Sunday</v>
      </c>
      <c r="J368" s="9" t="s">
        <v>27</v>
      </c>
      <c r="K368" s="23">
        <f>ROUND(Data!$G368,0)</f>
        <v>3</v>
      </c>
    </row>
    <row r="369" spans="1:11" ht="14.25" customHeight="1" x14ac:dyDescent="0.3">
      <c r="A369" s="9" t="s">
        <v>403</v>
      </c>
      <c r="B369" s="9" t="s">
        <v>16</v>
      </c>
      <c r="C369" s="2">
        <v>21</v>
      </c>
      <c r="D369" s="12" t="s">
        <v>31</v>
      </c>
      <c r="E369" s="3">
        <v>45032</v>
      </c>
      <c r="F369" s="15">
        <v>74</v>
      </c>
      <c r="G369" s="18">
        <v>4.5999999999999996</v>
      </c>
      <c r="H369" s="9">
        <f>IF(MONTH(Data!$E369)&lt;=6, YEAR(Data!$E369), YEAR(Data!$E369)+1)</f>
        <v>2023</v>
      </c>
      <c r="I369" s="9" t="str">
        <f>TEXT(Data!$E369,"DDDD")</f>
        <v>Sunday</v>
      </c>
      <c r="J369" s="9" t="s">
        <v>47</v>
      </c>
      <c r="K369" s="23">
        <f>ROUND(Data!$G369,0)</f>
        <v>5</v>
      </c>
    </row>
    <row r="370" spans="1:11" ht="14.25" customHeight="1" x14ac:dyDescent="0.3">
      <c r="A370" s="9" t="s">
        <v>404</v>
      </c>
      <c r="B370" s="9" t="s">
        <v>58</v>
      </c>
      <c r="C370" s="2">
        <v>133</v>
      </c>
      <c r="D370" s="12" t="s">
        <v>24</v>
      </c>
      <c r="E370" s="3">
        <v>45032</v>
      </c>
      <c r="F370" s="15">
        <v>100</v>
      </c>
      <c r="G370" s="18">
        <v>4</v>
      </c>
      <c r="H370" s="9">
        <f>IF(MONTH(Data!$E370)&lt;=6, YEAR(Data!$E370), YEAR(Data!$E370)+1)</f>
        <v>2023</v>
      </c>
      <c r="I370" s="9" t="str">
        <f>TEXT(Data!$E370,"DDDD")</f>
        <v>Sunday</v>
      </c>
      <c r="J370" s="9" t="s">
        <v>25</v>
      </c>
      <c r="K370" s="23">
        <f>ROUND(Data!$G370,0)</f>
        <v>4</v>
      </c>
    </row>
    <row r="371" spans="1:11" ht="14.25" customHeight="1" x14ac:dyDescent="0.3">
      <c r="A371" s="9" t="s">
        <v>405</v>
      </c>
      <c r="B371" s="9" t="s">
        <v>12</v>
      </c>
      <c r="C371" s="2">
        <v>135</v>
      </c>
      <c r="D371" s="12" t="s">
        <v>19</v>
      </c>
      <c r="E371" s="3">
        <v>45032</v>
      </c>
      <c r="F371" s="15">
        <v>185</v>
      </c>
      <c r="G371" s="18">
        <v>4.5</v>
      </c>
      <c r="H371" s="9">
        <f>IF(MONTH(Data!$E371)&lt;=6, YEAR(Data!$E371), YEAR(Data!$E371)+1)</f>
        <v>2023</v>
      </c>
      <c r="I371" s="9" t="str">
        <f>TEXT(Data!$E371,"DDDD")</f>
        <v>Sunday</v>
      </c>
      <c r="J371" s="9" t="s">
        <v>25</v>
      </c>
      <c r="K371" s="23">
        <f>ROUND(Data!$G371,0)</f>
        <v>5</v>
      </c>
    </row>
    <row r="372" spans="1:11" ht="14.25" customHeight="1" x14ac:dyDescent="0.3">
      <c r="A372" s="9" t="s">
        <v>406</v>
      </c>
      <c r="B372" s="9" t="s">
        <v>38</v>
      </c>
      <c r="C372" s="2">
        <v>69</v>
      </c>
      <c r="D372" s="12" t="s">
        <v>24</v>
      </c>
      <c r="E372" s="3">
        <v>45032</v>
      </c>
      <c r="F372" s="15">
        <v>130</v>
      </c>
      <c r="G372" s="18">
        <v>1.9</v>
      </c>
      <c r="H372" s="9">
        <f>IF(MONTH(Data!$E372)&lt;=6, YEAR(Data!$E372), YEAR(Data!$E372)+1)</f>
        <v>2023</v>
      </c>
      <c r="I372" s="9" t="str">
        <f>TEXT(Data!$E372,"DDDD")</f>
        <v>Sunday</v>
      </c>
      <c r="J372" s="9" t="s">
        <v>14</v>
      </c>
      <c r="K372" s="23">
        <f>ROUND(Data!$G372,0)</f>
        <v>2</v>
      </c>
    </row>
    <row r="373" spans="1:11" ht="14.25" customHeight="1" x14ac:dyDescent="0.3">
      <c r="A373" s="9" t="s">
        <v>407</v>
      </c>
      <c r="B373" s="9" t="s">
        <v>34</v>
      </c>
      <c r="C373" s="2">
        <v>110</v>
      </c>
      <c r="D373" s="12" t="s">
        <v>31</v>
      </c>
      <c r="E373" s="3">
        <v>45033</v>
      </c>
      <c r="F373" s="15">
        <v>21</v>
      </c>
      <c r="G373" s="18">
        <v>2.6</v>
      </c>
      <c r="H373" s="9">
        <f>IF(MONTH(Data!$E373)&lt;=6, YEAR(Data!$E373), YEAR(Data!$E373)+1)</f>
        <v>2023</v>
      </c>
      <c r="I373" s="9" t="str">
        <f>TEXT(Data!$E373,"DDDD")</f>
        <v>Monday</v>
      </c>
      <c r="J373" s="9" t="s">
        <v>14</v>
      </c>
      <c r="K373" s="23">
        <f>ROUND(Data!$G373,0)</f>
        <v>3</v>
      </c>
    </row>
    <row r="374" spans="1:11" ht="14.25" customHeight="1" x14ac:dyDescent="0.3">
      <c r="A374" s="9" t="s">
        <v>408</v>
      </c>
      <c r="B374" s="9" t="s">
        <v>88</v>
      </c>
      <c r="C374" s="2">
        <v>64</v>
      </c>
      <c r="D374" s="12" t="s">
        <v>13</v>
      </c>
      <c r="E374" s="3">
        <v>45033</v>
      </c>
      <c r="F374" s="15">
        <v>88</v>
      </c>
      <c r="G374" s="18">
        <v>4.3</v>
      </c>
      <c r="H374" s="9">
        <f>IF(MONTH(Data!$E374)&lt;=6, YEAR(Data!$E374), YEAR(Data!$E374)+1)</f>
        <v>2023</v>
      </c>
      <c r="I374" s="9" t="str">
        <f>TEXT(Data!$E374,"DDDD")</f>
        <v>Monday</v>
      </c>
      <c r="J374" s="9" t="s">
        <v>14</v>
      </c>
      <c r="K374" s="23">
        <f>ROUND(Data!$G374,0)</f>
        <v>4</v>
      </c>
    </row>
    <row r="375" spans="1:11" ht="14.25" customHeight="1" x14ac:dyDescent="0.3">
      <c r="A375" s="9" t="s">
        <v>409</v>
      </c>
      <c r="B375" s="9" t="s">
        <v>18</v>
      </c>
      <c r="C375" s="2">
        <v>105</v>
      </c>
      <c r="D375" s="12" t="s">
        <v>35</v>
      </c>
      <c r="E375" s="3">
        <v>45033</v>
      </c>
      <c r="F375" s="15">
        <v>35</v>
      </c>
      <c r="G375" s="18">
        <v>4.4000000000000004</v>
      </c>
      <c r="H375" s="9">
        <f>IF(MONTH(Data!$E375)&lt;=6, YEAR(Data!$E375), YEAR(Data!$E375)+1)</f>
        <v>2023</v>
      </c>
      <c r="I375" s="9" t="str">
        <f>TEXT(Data!$E375,"DDDD")</f>
        <v>Monday</v>
      </c>
      <c r="J375" s="9" t="s">
        <v>14</v>
      </c>
      <c r="K375" s="23">
        <f>ROUND(Data!$G375,0)</f>
        <v>4</v>
      </c>
    </row>
    <row r="376" spans="1:11" ht="14.25" customHeight="1" x14ac:dyDescent="0.3">
      <c r="A376" s="9" t="s">
        <v>410</v>
      </c>
      <c r="B376" s="9" t="s">
        <v>88</v>
      </c>
      <c r="C376" s="2">
        <v>165</v>
      </c>
      <c r="D376" s="12" t="s">
        <v>19</v>
      </c>
      <c r="E376" s="3">
        <v>45033</v>
      </c>
      <c r="F376" s="15">
        <v>68</v>
      </c>
      <c r="G376" s="18">
        <v>4.3</v>
      </c>
      <c r="H376" s="9">
        <f>IF(MONTH(Data!$E376)&lt;=6, YEAR(Data!$E376), YEAR(Data!$E376)+1)</f>
        <v>2023</v>
      </c>
      <c r="I376" s="9" t="str">
        <f>TEXT(Data!$E376,"DDDD")</f>
        <v>Monday</v>
      </c>
      <c r="J376" s="9" t="s">
        <v>25</v>
      </c>
      <c r="K376" s="23">
        <f>ROUND(Data!$G376,0)</f>
        <v>4</v>
      </c>
    </row>
    <row r="377" spans="1:11" ht="14.25" customHeight="1" x14ac:dyDescent="0.3">
      <c r="A377" s="9" t="s">
        <v>411</v>
      </c>
      <c r="B377" s="9" t="s">
        <v>55</v>
      </c>
      <c r="C377" s="2">
        <v>125</v>
      </c>
      <c r="D377" s="12" t="s">
        <v>19</v>
      </c>
      <c r="E377" s="3">
        <v>45033</v>
      </c>
      <c r="F377" s="15">
        <v>148</v>
      </c>
      <c r="G377" s="18">
        <v>4.5</v>
      </c>
      <c r="H377" s="9">
        <f>IF(MONTH(Data!$E377)&lt;=6, YEAR(Data!$E377), YEAR(Data!$E377)+1)</f>
        <v>2023</v>
      </c>
      <c r="I377" s="9" t="str">
        <f>TEXT(Data!$E377,"DDDD")</f>
        <v>Monday</v>
      </c>
      <c r="J377" s="9" t="s">
        <v>25</v>
      </c>
      <c r="K377" s="23">
        <f>ROUND(Data!$G377,0)</f>
        <v>5</v>
      </c>
    </row>
    <row r="378" spans="1:11" ht="14.25" customHeight="1" x14ac:dyDescent="0.3">
      <c r="A378" s="9" t="s">
        <v>412</v>
      </c>
      <c r="B378" s="9" t="s">
        <v>18</v>
      </c>
      <c r="C378" s="2">
        <v>88</v>
      </c>
      <c r="D378" s="12" t="s">
        <v>13</v>
      </c>
      <c r="E378" s="3">
        <v>45034</v>
      </c>
      <c r="F378" s="15">
        <v>81</v>
      </c>
      <c r="G378" s="18">
        <v>4.2</v>
      </c>
      <c r="H378" s="9">
        <f>IF(MONTH(Data!$E378)&lt;=6, YEAR(Data!$E378), YEAR(Data!$E378)+1)</f>
        <v>2023</v>
      </c>
      <c r="I378" s="9" t="str">
        <f>TEXT(Data!$E378,"DDDD")</f>
        <v>Tuesday</v>
      </c>
      <c r="J378" s="9" t="s">
        <v>14</v>
      </c>
      <c r="K378" s="23">
        <f>ROUND(Data!$G378,0)</f>
        <v>4</v>
      </c>
    </row>
    <row r="379" spans="1:11" ht="14.25" customHeight="1" x14ac:dyDescent="0.3">
      <c r="A379" s="9" t="s">
        <v>413</v>
      </c>
      <c r="B379" s="9" t="s">
        <v>38</v>
      </c>
      <c r="C379" s="2">
        <v>6</v>
      </c>
      <c r="D379" s="12" t="s">
        <v>13</v>
      </c>
      <c r="E379" s="3">
        <v>45034</v>
      </c>
      <c r="F379" s="15">
        <v>75</v>
      </c>
      <c r="G379" s="18">
        <v>3.9</v>
      </c>
      <c r="H379" s="9">
        <f>IF(MONTH(Data!$E379)&lt;=6, YEAR(Data!$E379), YEAR(Data!$E379)+1)</f>
        <v>2023</v>
      </c>
      <c r="I379" s="9" t="str">
        <f>TEXT(Data!$E379,"DDDD")</f>
        <v>Tuesday</v>
      </c>
      <c r="J379" s="9" t="s">
        <v>176</v>
      </c>
      <c r="K379" s="23">
        <f>ROUND(Data!$G379,0)</f>
        <v>4</v>
      </c>
    </row>
    <row r="380" spans="1:11" ht="14.25" customHeight="1" x14ac:dyDescent="0.3">
      <c r="A380" s="9" t="s">
        <v>414</v>
      </c>
      <c r="B380" s="9" t="s">
        <v>46</v>
      </c>
      <c r="C380" s="2">
        <v>69</v>
      </c>
      <c r="D380" s="12" t="s">
        <v>24</v>
      </c>
      <c r="E380" s="3">
        <v>45035</v>
      </c>
      <c r="F380" s="15">
        <v>32</v>
      </c>
      <c r="G380" s="18">
        <v>3.6</v>
      </c>
      <c r="H380" s="9">
        <f>IF(MONTH(Data!$E380)&lt;=6, YEAR(Data!$E380), YEAR(Data!$E380)+1)</f>
        <v>2023</v>
      </c>
      <c r="I380" s="9" t="str">
        <f>TEXT(Data!$E380,"DDDD")</f>
        <v>Wednesday</v>
      </c>
      <c r="J380" s="9" t="s">
        <v>14</v>
      </c>
      <c r="K380" s="23">
        <f>ROUND(Data!$G380,0)</f>
        <v>4</v>
      </c>
    </row>
    <row r="381" spans="1:11" ht="14.25" customHeight="1" x14ac:dyDescent="0.3">
      <c r="A381" s="9" t="s">
        <v>415</v>
      </c>
      <c r="B381" s="9" t="s">
        <v>68</v>
      </c>
      <c r="C381" s="2">
        <v>107</v>
      </c>
      <c r="D381" s="12" t="s">
        <v>24</v>
      </c>
      <c r="E381" s="3">
        <v>45035</v>
      </c>
      <c r="F381" s="15">
        <v>156</v>
      </c>
      <c r="G381" s="18">
        <v>3.8</v>
      </c>
      <c r="H381" s="9">
        <f>IF(MONTH(Data!$E381)&lt;=6, YEAR(Data!$E381), YEAR(Data!$E381)+1)</f>
        <v>2023</v>
      </c>
      <c r="I381" s="9" t="str">
        <f>TEXT(Data!$E381,"DDDD")</f>
        <v>Wednesday</v>
      </c>
      <c r="J381" s="9" t="s">
        <v>14</v>
      </c>
      <c r="K381" s="23">
        <f>ROUND(Data!$G381,0)</f>
        <v>4</v>
      </c>
    </row>
    <row r="382" spans="1:11" ht="14.25" customHeight="1" x14ac:dyDescent="0.3">
      <c r="A382" s="9" t="s">
        <v>416</v>
      </c>
      <c r="B382" s="9" t="s">
        <v>16</v>
      </c>
      <c r="C382" s="2">
        <v>90</v>
      </c>
      <c r="D382" s="12" t="s">
        <v>19</v>
      </c>
      <c r="E382" s="3">
        <v>45035</v>
      </c>
      <c r="F382" s="15">
        <v>99</v>
      </c>
      <c r="G382" s="18">
        <v>4.9000000000000004</v>
      </c>
      <c r="H382" s="9">
        <f>IF(MONTH(Data!$E382)&lt;=6, YEAR(Data!$E382), YEAR(Data!$E382)+1)</f>
        <v>2023</v>
      </c>
      <c r="I382" s="9" t="str">
        <f>TEXT(Data!$E382,"DDDD")</f>
        <v>Wednesday</v>
      </c>
      <c r="J382" s="9" t="s">
        <v>14</v>
      </c>
      <c r="K382" s="23">
        <f>ROUND(Data!$G382,0)</f>
        <v>5</v>
      </c>
    </row>
    <row r="383" spans="1:11" ht="14.25" customHeight="1" x14ac:dyDescent="0.3">
      <c r="A383" s="9" t="s">
        <v>417</v>
      </c>
      <c r="B383" s="9" t="s">
        <v>12</v>
      </c>
      <c r="C383" s="2">
        <v>120</v>
      </c>
      <c r="D383" s="12" t="s">
        <v>35</v>
      </c>
      <c r="E383" s="3">
        <v>45035</v>
      </c>
      <c r="F383" s="15">
        <v>26</v>
      </c>
      <c r="G383" s="18">
        <v>4</v>
      </c>
      <c r="H383" s="9">
        <f>IF(MONTH(Data!$E383)&lt;=6, YEAR(Data!$E383), YEAR(Data!$E383)+1)</f>
        <v>2023</v>
      </c>
      <c r="I383" s="9" t="str">
        <f>TEXT(Data!$E383,"DDDD")</f>
        <v>Wednesday</v>
      </c>
      <c r="J383" s="9" t="s">
        <v>14</v>
      </c>
      <c r="K383" s="23">
        <f>ROUND(Data!$G383,0)</f>
        <v>4</v>
      </c>
    </row>
    <row r="384" spans="1:11" ht="14.25" customHeight="1" x14ac:dyDescent="0.3">
      <c r="A384" s="9" t="s">
        <v>418</v>
      </c>
      <c r="B384" s="9" t="s">
        <v>23</v>
      </c>
      <c r="C384" s="2">
        <v>47</v>
      </c>
      <c r="D384" s="12" t="s">
        <v>24</v>
      </c>
      <c r="E384" s="3">
        <v>45035</v>
      </c>
      <c r="F384" s="15">
        <v>84</v>
      </c>
      <c r="G384" s="18">
        <v>4.0999999999999996</v>
      </c>
      <c r="H384" s="9">
        <f>IF(MONTH(Data!$E384)&lt;=6, YEAR(Data!$E384), YEAR(Data!$E384)+1)</f>
        <v>2023</v>
      </c>
      <c r="I384" s="9" t="str">
        <f>TEXT(Data!$E384,"DDDD")</f>
        <v>Wednesday</v>
      </c>
      <c r="J384" s="9" t="s">
        <v>27</v>
      </c>
      <c r="K384" s="23">
        <f>ROUND(Data!$G384,0)</f>
        <v>4</v>
      </c>
    </row>
    <row r="385" spans="1:11" ht="14.25" customHeight="1" x14ac:dyDescent="0.3">
      <c r="A385" s="9" t="s">
        <v>419</v>
      </c>
      <c r="B385" s="9" t="s">
        <v>21</v>
      </c>
      <c r="C385" s="2">
        <v>60</v>
      </c>
      <c r="D385" s="12" t="s">
        <v>35</v>
      </c>
      <c r="E385" s="3">
        <v>45035</v>
      </c>
      <c r="F385" s="15">
        <v>84</v>
      </c>
      <c r="G385" s="18">
        <v>4.8</v>
      </c>
      <c r="H385" s="9">
        <f>IF(MONTH(Data!$E385)&lt;=6, YEAR(Data!$E385), YEAR(Data!$E385)+1)</f>
        <v>2023</v>
      </c>
      <c r="I385" s="9" t="str">
        <f>TEXT(Data!$E385,"DDDD")</f>
        <v>Wednesday</v>
      </c>
      <c r="J385" s="9" t="s">
        <v>27</v>
      </c>
      <c r="K385" s="23">
        <f>ROUND(Data!$G385,0)</f>
        <v>5</v>
      </c>
    </row>
    <row r="386" spans="1:11" ht="14.25" customHeight="1" x14ac:dyDescent="0.3">
      <c r="A386" s="9" t="s">
        <v>420</v>
      </c>
      <c r="B386" s="9" t="s">
        <v>50</v>
      </c>
      <c r="C386" s="2">
        <v>64</v>
      </c>
      <c r="D386" s="12" t="s">
        <v>19</v>
      </c>
      <c r="E386" s="3">
        <v>45035</v>
      </c>
      <c r="F386" s="15">
        <v>170</v>
      </c>
      <c r="G386" s="18">
        <v>2.2999999999999998</v>
      </c>
      <c r="H386" s="9">
        <f>IF(MONTH(Data!$E386)&lt;=6, YEAR(Data!$E386), YEAR(Data!$E386)+1)</f>
        <v>2023</v>
      </c>
      <c r="I386" s="9" t="str">
        <f>TEXT(Data!$E386,"DDDD")</f>
        <v>Wednesday</v>
      </c>
      <c r="J386" s="9" t="s">
        <v>14</v>
      </c>
      <c r="K386" s="23">
        <f>ROUND(Data!$G386,0)</f>
        <v>2</v>
      </c>
    </row>
    <row r="387" spans="1:11" ht="14.25" customHeight="1" x14ac:dyDescent="0.3">
      <c r="A387" s="9" t="s">
        <v>421</v>
      </c>
      <c r="B387" s="9" t="s">
        <v>88</v>
      </c>
      <c r="C387" s="2">
        <v>62</v>
      </c>
      <c r="D387" s="12" t="s">
        <v>24</v>
      </c>
      <c r="E387" s="3">
        <v>45035</v>
      </c>
      <c r="F387" s="15">
        <v>35</v>
      </c>
      <c r="G387" s="18">
        <v>4.4000000000000004</v>
      </c>
      <c r="H387" s="9">
        <f>IF(MONTH(Data!$E387)&lt;=6, YEAR(Data!$E387), YEAR(Data!$E387)+1)</f>
        <v>2023</v>
      </c>
      <c r="I387" s="9" t="str">
        <f>TEXT(Data!$E387,"DDDD")</f>
        <v>Wednesday</v>
      </c>
      <c r="J387" s="9" t="s">
        <v>14</v>
      </c>
      <c r="K387" s="23">
        <f>ROUND(Data!$G387,0)</f>
        <v>4</v>
      </c>
    </row>
    <row r="388" spans="1:11" ht="14.25" customHeight="1" x14ac:dyDescent="0.3">
      <c r="A388" s="9" t="s">
        <v>422</v>
      </c>
      <c r="B388" s="9" t="s">
        <v>34</v>
      </c>
      <c r="C388" s="2">
        <v>88</v>
      </c>
      <c r="D388" s="12" t="s">
        <v>24</v>
      </c>
      <c r="E388" s="3">
        <v>45036</v>
      </c>
      <c r="F388" s="15">
        <v>35</v>
      </c>
      <c r="G388" s="18">
        <v>3.8</v>
      </c>
      <c r="H388" s="9">
        <f>IF(MONTH(Data!$E388)&lt;=6, YEAR(Data!$E388), YEAR(Data!$E388)+1)</f>
        <v>2023</v>
      </c>
      <c r="I388" s="9" t="str">
        <f>TEXT(Data!$E388,"DDDD")</f>
        <v>Thursday</v>
      </c>
      <c r="J388" s="9" t="s">
        <v>14</v>
      </c>
      <c r="K388" s="23">
        <f>ROUND(Data!$G388,0)</f>
        <v>4</v>
      </c>
    </row>
    <row r="389" spans="1:11" ht="14.25" customHeight="1" x14ac:dyDescent="0.3">
      <c r="A389" s="9" t="s">
        <v>423</v>
      </c>
      <c r="B389" s="9" t="s">
        <v>55</v>
      </c>
      <c r="C389" s="2">
        <v>116</v>
      </c>
      <c r="D389" s="12" t="s">
        <v>24</v>
      </c>
      <c r="E389" s="3">
        <v>45036</v>
      </c>
      <c r="F389" s="15">
        <v>132</v>
      </c>
      <c r="G389" s="18">
        <v>5</v>
      </c>
      <c r="H389" s="9">
        <f>IF(MONTH(Data!$E389)&lt;=6, YEAR(Data!$E389), YEAR(Data!$E389)+1)</f>
        <v>2023</v>
      </c>
      <c r="I389" s="9" t="str">
        <f>TEXT(Data!$E389,"DDDD")</f>
        <v>Thursday</v>
      </c>
      <c r="J389" s="9" t="s">
        <v>14</v>
      </c>
      <c r="K389" s="23">
        <f>ROUND(Data!$G389,0)</f>
        <v>5</v>
      </c>
    </row>
    <row r="390" spans="1:11" ht="14.25" customHeight="1" x14ac:dyDescent="0.3">
      <c r="A390" s="9" t="s">
        <v>424</v>
      </c>
      <c r="B390" s="9" t="s">
        <v>16</v>
      </c>
      <c r="C390" s="2">
        <v>82</v>
      </c>
      <c r="D390" s="12" t="s">
        <v>13</v>
      </c>
      <c r="E390" s="3">
        <v>45037</v>
      </c>
      <c r="F390" s="15">
        <v>144</v>
      </c>
      <c r="G390" s="18">
        <v>3.3</v>
      </c>
      <c r="H390" s="9">
        <f>IF(MONTH(Data!$E390)&lt;=6, YEAR(Data!$E390), YEAR(Data!$E390)+1)</f>
        <v>2023</v>
      </c>
      <c r="I390" s="9" t="str">
        <f>TEXT(Data!$E390,"DDDD")</f>
        <v>Friday</v>
      </c>
      <c r="J390" s="9" t="s">
        <v>14</v>
      </c>
      <c r="K390" s="23">
        <f>ROUND(Data!$G390,0)</f>
        <v>3</v>
      </c>
    </row>
    <row r="391" spans="1:11" ht="14.25" customHeight="1" x14ac:dyDescent="0.3">
      <c r="A391" s="9" t="s">
        <v>425</v>
      </c>
      <c r="B391" s="9" t="s">
        <v>88</v>
      </c>
      <c r="C391" s="2">
        <v>99</v>
      </c>
      <c r="D391" s="12" t="s">
        <v>19</v>
      </c>
      <c r="E391" s="3">
        <v>45037</v>
      </c>
      <c r="F391" s="15">
        <v>48</v>
      </c>
      <c r="G391" s="18">
        <v>5</v>
      </c>
      <c r="H391" s="9">
        <f>IF(MONTH(Data!$E391)&lt;=6, YEAR(Data!$E391), YEAR(Data!$E391)+1)</f>
        <v>2023</v>
      </c>
      <c r="I391" s="9" t="str">
        <f>TEXT(Data!$E391,"DDDD")</f>
        <v>Friday</v>
      </c>
      <c r="J391" s="9" t="s">
        <v>14</v>
      </c>
      <c r="K391" s="23">
        <f>ROUND(Data!$G391,0)</f>
        <v>5</v>
      </c>
    </row>
    <row r="392" spans="1:11" ht="14.25" customHeight="1" x14ac:dyDescent="0.3">
      <c r="A392" s="9" t="s">
        <v>426</v>
      </c>
      <c r="B392" s="9" t="s">
        <v>88</v>
      </c>
      <c r="C392" s="2">
        <v>55</v>
      </c>
      <c r="D392" s="12" t="s">
        <v>13</v>
      </c>
      <c r="E392" s="3">
        <v>45037</v>
      </c>
      <c r="F392" s="15">
        <v>200</v>
      </c>
      <c r="G392" s="18">
        <v>2.2999999999999998</v>
      </c>
      <c r="H392" s="9">
        <f>IF(MONTH(Data!$E392)&lt;=6, YEAR(Data!$E392), YEAR(Data!$E392)+1)</f>
        <v>2023</v>
      </c>
      <c r="I392" s="9" t="str">
        <f>TEXT(Data!$E392,"DDDD")</f>
        <v>Friday</v>
      </c>
      <c r="J392" s="9" t="s">
        <v>27</v>
      </c>
      <c r="K392" s="23">
        <f>ROUND(Data!$G392,0)</f>
        <v>2</v>
      </c>
    </row>
    <row r="393" spans="1:11" ht="14.25" customHeight="1" x14ac:dyDescent="0.3">
      <c r="A393" s="9" t="s">
        <v>427</v>
      </c>
      <c r="B393" s="9" t="s">
        <v>50</v>
      </c>
      <c r="C393" s="2">
        <v>61</v>
      </c>
      <c r="D393" s="12" t="s">
        <v>35</v>
      </c>
      <c r="E393" s="3">
        <v>45037</v>
      </c>
      <c r="F393" s="15">
        <v>38</v>
      </c>
      <c r="G393" s="18">
        <v>4.8</v>
      </c>
      <c r="H393" s="9">
        <f>IF(MONTH(Data!$E393)&lt;=6, YEAR(Data!$E393), YEAR(Data!$E393)+1)</f>
        <v>2023</v>
      </c>
      <c r="I393" s="9" t="str">
        <f>TEXT(Data!$E393,"DDDD")</f>
        <v>Friday</v>
      </c>
      <c r="J393" s="9" t="s">
        <v>14</v>
      </c>
      <c r="K393" s="23">
        <f>ROUND(Data!$G393,0)</f>
        <v>5</v>
      </c>
    </row>
    <row r="394" spans="1:11" ht="14.25" customHeight="1" x14ac:dyDescent="0.3">
      <c r="A394" s="9" t="s">
        <v>428</v>
      </c>
      <c r="B394" s="9" t="s">
        <v>55</v>
      </c>
      <c r="C394" s="2">
        <v>36</v>
      </c>
      <c r="D394" s="12" t="s">
        <v>31</v>
      </c>
      <c r="E394" s="3">
        <v>45037</v>
      </c>
      <c r="F394" s="15">
        <v>81</v>
      </c>
      <c r="G394" s="18">
        <v>3.7</v>
      </c>
      <c r="H394" s="9">
        <f>IF(MONTH(Data!$E394)&lt;=6, YEAR(Data!$E394), YEAR(Data!$E394)+1)</f>
        <v>2023</v>
      </c>
      <c r="I394" s="9" t="str">
        <f>TEXT(Data!$E394,"DDDD")</f>
        <v>Friday</v>
      </c>
      <c r="J394" s="9" t="s">
        <v>27</v>
      </c>
      <c r="K394" s="23">
        <f>ROUND(Data!$G394,0)</f>
        <v>4</v>
      </c>
    </row>
    <row r="395" spans="1:11" ht="14.25" customHeight="1" x14ac:dyDescent="0.3">
      <c r="A395" s="9" t="s">
        <v>429</v>
      </c>
      <c r="B395" s="9" t="s">
        <v>16</v>
      </c>
      <c r="C395" s="2">
        <v>123</v>
      </c>
      <c r="D395" s="12" t="s">
        <v>24</v>
      </c>
      <c r="E395" s="3">
        <v>45037</v>
      </c>
      <c r="F395" s="15">
        <v>120</v>
      </c>
      <c r="G395" s="18">
        <v>4.2</v>
      </c>
      <c r="H395" s="9">
        <f>IF(MONTH(Data!$E395)&lt;=6, YEAR(Data!$E395), YEAR(Data!$E395)+1)</f>
        <v>2023</v>
      </c>
      <c r="I395" s="9" t="str">
        <f>TEXT(Data!$E395,"DDDD")</f>
        <v>Friday</v>
      </c>
      <c r="J395" s="9" t="s">
        <v>25</v>
      </c>
      <c r="K395" s="23">
        <f>ROUND(Data!$G395,0)</f>
        <v>4</v>
      </c>
    </row>
    <row r="396" spans="1:11" ht="14.25" customHeight="1" x14ac:dyDescent="0.3">
      <c r="A396" s="9" t="s">
        <v>430</v>
      </c>
      <c r="B396" s="9" t="s">
        <v>40</v>
      </c>
      <c r="C396" s="2">
        <v>24</v>
      </c>
      <c r="D396" s="12" t="s">
        <v>35</v>
      </c>
      <c r="E396" s="3">
        <v>45037</v>
      </c>
      <c r="F396" s="15">
        <v>74</v>
      </c>
      <c r="G396" s="18">
        <v>4.8</v>
      </c>
      <c r="H396" s="9">
        <f>IF(MONTH(Data!$E396)&lt;=6, YEAR(Data!$E396), YEAR(Data!$E396)+1)</f>
        <v>2023</v>
      </c>
      <c r="I396" s="9" t="str">
        <f>TEXT(Data!$E396,"DDDD")</f>
        <v>Friday</v>
      </c>
      <c r="J396" s="9" t="s">
        <v>47</v>
      </c>
      <c r="K396" s="23">
        <f>ROUND(Data!$G396,0)</f>
        <v>5</v>
      </c>
    </row>
    <row r="397" spans="1:11" ht="14.25" customHeight="1" x14ac:dyDescent="0.3">
      <c r="A397" s="9" t="s">
        <v>431</v>
      </c>
      <c r="B397" s="9" t="s">
        <v>16</v>
      </c>
      <c r="C397" s="2">
        <v>43</v>
      </c>
      <c r="D397" s="12" t="s">
        <v>24</v>
      </c>
      <c r="E397" s="3">
        <v>45038</v>
      </c>
      <c r="F397" s="15">
        <v>128</v>
      </c>
      <c r="G397" s="18">
        <v>4.7</v>
      </c>
      <c r="H397" s="9">
        <f>IF(MONTH(Data!$E397)&lt;=6, YEAR(Data!$E397), YEAR(Data!$E397)+1)</f>
        <v>2023</v>
      </c>
      <c r="I397" s="9" t="str">
        <f>TEXT(Data!$E397,"DDDD")</f>
        <v>Saturday</v>
      </c>
      <c r="J397" s="9" t="s">
        <v>27</v>
      </c>
      <c r="K397" s="23">
        <f>ROUND(Data!$G397,0)</f>
        <v>5</v>
      </c>
    </row>
    <row r="398" spans="1:11" ht="14.25" customHeight="1" x14ac:dyDescent="0.3">
      <c r="A398" s="9" t="s">
        <v>432</v>
      </c>
      <c r="B398" s="9" t="s">
        <v>21</v>
      </c>
      <c r="C398" s="2">
        <v>95</v>
      </c>
      <c r="D398" s="12" t="s">
        <v>19</v>
      </c>
      <c r="E398" s="3">
        <v>45038</v>
      </c>
      <c r="F398" s="15">
        <v>21</v>
      </c>
      <c r="G398" s="18">
        <v>3.9</v>
      </c>
      <c r="H398" s="9">
        <f>IF(MONTH(Data!$E398)&lt;=6, YEAR(Data!$E398), YEAR(Data!$E398)+1)</f>
        <v>2023</v>
      </c>
      <c r="I398" s="9" t="str">
        <f>TEXT(Data!$E398,"DDDD")</f>
        <v>Saturday</v>
      </c>
      <c r="J398" s="9" t="s">
        <v>14</v>
      </c>
      <c r="K398" s="23">
        <f>ROUND(Data!$G398,0)</f>
        <v>4</v>
      </c>
    </row>
    <row r="399" spans="1:11" ht="14.25" customHeight="1" x14ac:dyDescent="0.3">
      <c r="A399" s="9" t="s">
        <v>433</v>
      </c>
      <c r="B399" s="9" t="s">
        <v>88</v>
      </c>
      <c r="C399" s="2">
        <v>53</v>
      </c>
      <c r="D399" s="12" t="s">
        <v>24</v>
      </c>
      <c r="E399" s="3">
        <v>45038</v>
      </c>
      <c r="F399" s="15">
        <v>110</v>
      </c>
      <c r="G399" s="18">
        <v>4.3</v>
      </c>
      <c r="H399" s="9">
        <f>IF(MONTH(Data!$E399)&lt;=6, YEAR(Data!$E399), YEAR(Data!$E399)+1)</f>
        <v>2023</v>
      </c>
      <c r="I399" s="9" t="str">
        <f>TEXT(Data!$E399,"DDDD")</f>
        <v>Saturday</v>
      </c>
      <c r="J399" s="9" t="s">
        <v>27</v>
      </c>
      <c r="K399" s="23">
        <f>ROUND(Data!$G399,0)</f>
        <v>4</v>
      </c>
    </row>
    <row r="400" spans="1:11" ht="14.25" customHeight="1" x14ac:dyDescent="0.3">
      <c r="A400" s="9" t="s">
        <v>434</v>
      </c>
      <c r="B400" s="9" t="s">
        <v>16</v>
      </c>
      <c r="C400" s="2">
        <v>113</v>
      </c>
      <c r="D400" s="12" t="s">
        <v>24</v>
      </c>
      <c r="E400" s="3">
        <v>45038</v>
      </c>
      <c r="F400" s="15">
        <v>145</v>
      </c>
      <c r="G400" s="18">
        <v>4</v>
      </c>
      <c r="H400" s="9">
        <f>IF(MONTH(Data!$E400)&lt;=6, YEAR(Data!$E400), YEAR(Data!$E400)+1)</f>
        <v>2023</v>
      </c>
      <c r="I400" s="9" t="str">
        <f>TEXT(Data!$E400,"DDDD")</f>
        <v>Saturday</v>
      </c>
      <c r="J400" s="9" t="s">
        <v>14</v>
      </c>
      <c r="K400" s="23">
        <f>ROUND(Data!$G400,0)</f>
        <v>4</v>
      </c>
    </row>
    <row r="401" spans="1:11" ht="14.25" customHeight="1" x14ac:dyDescent="0.3">
      <c r="A401" s="9" t="s">
        <v>435</v>
      </c>
      <c r="B401" s="9" t="s">
        <v>88</v>
      </c>
      <c r="C401" s="2">
        <v>89</v>
      </c>
      <c r="D401" s="12" t="s">
        <v>31</v>
      </c>
      <c r="E401" s="3">
        <v>45038</v>
      </c>
      <c r="F401" s="15">
        <v>129</v>
      </c>
      <c r="G401" s="18">
        <v>4</v>
      </c>
      <c r="H401" s="9">
        <f>IF(MONTH(Data!$E401)&lt;=6, YEAR(Data!$E401), YEAR(Data!$E401)+1)</f>
        <v>2023</v>
      </c>
      <c r="I401" s="9" t="str">
        <f>TEXT(Data!$E401,"DDDD")</f>
        <v>Saturday</v>
      </c>
      <c r="J401" s="9" t="s">
        <v>14</v>
      </c>
      <c r="K401" s="23">
        <f>ROUND(Data!$G401,0)</f>
        <v>4</v>
      </c>
    </row>
    <row r="402" spans="1:11" ht="14.25" customHeight="1" x14ac:dyDescent="0.3">
      <c r="A402" s="9" t="s">
        <v>436</v>
      </c>
      <c r="B402" s="9" t="s">
        <v>34</v>
      </c>
      <c r="C402" s="2">
        <v>84</v>
      </c>
      <c r="D402" s="12" t="s">
        <v>13</v>
      </c>
      <c r="E402" s="3">
        <v>45038</v>
      </c>
      <c r="F402" s="15">
        <v>156</v>
      </c>
      <c r="G402" s="18">
        <v>3.2</v>
      </c>
      <c r="H402" s="9">
        <f>IF(MONTH(Data!$E402)&lt;=6, YEAR(Data!$E402), YEAR(Data!$E402)+1)</f>
        <v>2023</v>
      </c>
      <c r="I402" s="9" t="str">
        <f>TEXT(Data!$E402,"DDDD")</f>
        <v>Saturday</v>
      </c>
      <c r="J402" s="9" t="s">
        <v>14</v>
      </c>
      <c r="K402" s="23">
        <f>ROUND(Data!$G402,0)</f>
        <v>3</v>
      </c>
    </row>
    <row r="403" spans="1:11" ht="14.25" customHeight="1" x14ac:dyDescent="0.3">
      <c r="A403" s="9" t="s">
        <v>437</v>
      </c>
      <c r="B403" s="9" t="s">
        <v>40</v>
      </c>
      <c r="C403" s="2">
        <v>130</v>
      </c>
      <c r="D403" s="12" t="s">
        <v>24</v>
      </c>
      <c r="E403" s="3">
        <v>45039</v>
      </c>
      <c r="F403" s="15">
        <v>120</v>
      </c>
      <c r="G403" s="18">
        <v>3.8</v>
      </c>
      <c r="H403" s="9">
        <f>IF(MONTH(Data!$E403)&lt;=6, YEAR(Data!$E403), YEAR(Data!$E403)+1)</f>
        <v>2023</v>
      </c>
      <c r="I403" s="9" t="str">
        <f>TEXT(Data!$E403,"DDDD")</f>
        <v>Sunday</v>
      </c>
      <c r="J403" s="9" t="s">
        <v>25</v>
      </c>
      <c r="K403" s="23">
        <f>ROUND(Data!$G403,0)</f>
        <v>4</v>
      </c>
    </row>
    <row r="404" spans="1:11" ht="14.25" customHeight="1" x14ac:dyDescent="0.3">
      <c r="A404" s="9" t="s">
        <v>438</v>
      </c>
      <c r="B404" s="9" t="s">
        <v>21</v>
      </c>
      <c r="C404" s="2">
        <v>163</v>
      </c>
      <c r="D404" s="12" t="s">
        <v>31</v>
      </c>
      <c r="E404" s="3">
        <v>45039</v>
      </c>
      <c r="F404" s="15">
        <v>62</v>
      </c>
      <c r="G404" s="18">
        <v>3.4</v>
      </c>
      <c r="H404" s="9">
        <f>IF(MONTH(Data!$E404)&lt;=6, YEAR(Data!$E404), YEAR(Data!$E404)+1)</f>
        <v>2023</v>
      </c>
      <c r="I404" s="9" t="str">
        <f>TEXT(Data!$E404,"DDDD")</f>
        <v>Sunday</v>
      </c>
      <c r="J404" s="9" t="s">
        <v>25</v>
      </c>
      <c r="K404" s="23">
        <f>ROUND(Data!$G404,0)</f>
        <v>3</v>
      </c>
    </row>
    <row r="405" spans="1:11" ht="14.25" customHeight="1" x14ac:dyDescent="0.3">
      <c r="A405" s="9" t="s">
        <v>439</v>
      </c>
      <c r="B405" s="9" t="s">
        <v>46</v>
      </c>
      <c r="C405" s="2">
        <v>127</v>
      </c>
      <c r="D405" s="12" t="s">
        <v>24</v>
      </c>
      <c r="E405" s="3">
        <v>45039</v>
      </c>
      <c r="F405" s="15">
        <v>160</v>
      </c>
      <c r="G405" s="18">
        <v>3.2</v>
      </c>
      <c r="H405" s="9">
        <f>IF(MONTH(Data!$E405)&lt;=6, YEAR(Data!$E405), YEAR(Data!$E405)+1)</f>
        <v>2023</v>
      </c>
      <c r="I405" s="9" t="str">
        <f>TEXT(Data!$E405,"DDDD")</f>
        <v>Sunday</v>
      </c>
      <c r="J405" s="9" t="s">
        <v>25</v>
      </c>
      <c r="K405" s="23">
        <f>ROUND(Data!$G405,0)</f>
        <v>3</v>
      </c>
    </row>
    <row r="406" spans="1:11" ht="14.25" customHeight="1" x14ac:dyDescent="0.3">
      <c r="A406" s="9" t="s">
        <v>440</v>
      </c>
      <c r="B406" s="9" t="s">
        <v>16</v>
      </c>
      <c r="C406" s="2">
        <v>50</v>
      </c>
      <c r="D406" s="12" t="s">
        <v>24</v>
      </c>
      <c r="E406" s="3">
        <v>45039</v>
      </c>
      <c r="F406" s="15">
        <v>56</v>
      </c>
      <c r="G406" s="18">
        <v>4.7</v>
      </c>
      <c r="H406" s="9">
        <f>IF(MONTH(Data!$E406)&lt;=6, YEAR(Data!$E406), YEAR(Data!$E406)+1)</f>
        <v>2023</v>
      </c>
      <c r="I406" s="9" t="str">
        <f>TEXT(Data!$E406,"DDDD")</f>
        <v>Sunday</v>
      </c>
      <c r="J406" s="9" t="s">
        <v>27</v>
      </c>
      <c r="K406" s="23">
        <f>ROUND(Data!$G406,0)</f>
        <v>5</v>
      </c>
    </row>
    <row r="407" spans="1:11" ht="14.25" customHeight="1" x14ac:dyDescent="0.3">
      <c r="A407" s="9" t="s">
        <v>441</v>
      </c>
      <c r="B407" s="9" t="s">
        <v>29</v>
      </c>
      <c r="C407" s="2">
        <v>88</v>
      </c>
      <c r="D407" s="12" t="s">
        <v>35</v>
      </c>
      <c r="E407" s="3">
        <v>45039</v>
      </c>
      <c r="F407" s="15">
        <v>72</v>
      </c>
      <c r="G407" s="18">
        <v>4</v>
      </c>
      <c r="H407" s="9">
        <f>IF(MONTH(Data!$E407)&lt;=6, YEAR(Data!$E407), YEAR(Data!$E407)+1)</f>
        <v>2023</v>
      </c>
      <c r="I407" s="9" t="str">
        <f>TEXT(Data!$E407,"DDDD")</f>
        <v>Sunday</v>
      </c>
      <c r="J407" s="9" t="s">
        <v>14</v>
      </c>
      <c r="K407" s="23">
        <f>ROUND(Data!$G407,0)</f>
        <v>4</v>
      </c>
    </row>
    <row r="408" spans="1:11" ht="14.25" customHeight="1" x14ac:dyDescent="0.3">
      <c r="A408" s="9" t="s">
        <v>442</v>
      </c>
      <c r="B408" s="9" t="s">
        <v>16</v>
      </c>
      <c r="C408" s="2">
        <v>139</v>
      </c>
      <c r="D408" s="12" t="s">
        <v>19</v>
      </c>
      <c r="E408" s="3">
        <v>45040</v>
      </c>
      <c r="F408" s="15">
        <v>81</v>
      </c>
      <c r="G408" s="18">
        <v>4.8</v>
      </c>
      <c r="H408" s="9">
        <f>IF(MONTH(Data!$E408)&lt;=6, YEAR(Data!$E408), YEAR(Data!$E408)+1)</f>
        <v>2023</v>
      </c>
      <c r="I408" s="9" t="str">
        <f>TEXT(Data!$E408,"DDDD")</f>
        <v>Monday</v>
      </c>
      <c r="J408" s="9" t="s">
        <v>25</v>
      </c>
      <c r="K408" s="23">
        <f>ROUND(Data!$G408,0)</f>
        <v>5</v>
      </c>
    </row>
    <row r="409" spans="1:11" ht="14.25" customHeight="1" x14ac:dyDescent="0.3">
      <c r="A409" s="9" t="s">
        <v>443</v>
      </c>
      <c r="B409" s="9" t="s">
        <v>21</v>
      </c>
      <c r="C409" s="2">
        <v>111</v>
      </c>
      <c r="D409" s="12" t="s">
        <v>24</v>
      </c>
      <c r="E409" s="3">
        <v>45040</v>
      </c>
      <c r="F409" s="15">
        <v>144</v>
      </c>
      <c r="G409" s="18">
        <v>3.9</v>
      </c>
      <c r="H409" s="9">
        <f>IF(MONTH(Data!$E409)&lt;=6, YEAR(Data!$E409), YEAR(Data!$E409)+1)</f>
        <v>2023</v>
      </c>
      <c r="I409" s="9" t="str">
        <f>TEXT(Data!$E409,"DDDD")</f>
        <v>Monday</v>
      </c>
      <c r="J409" s="9" t="s">
        <v>14</v>
      </c>
      <c r="K409" s="23">
        <f>ROUND(Data!$G409,0)</f>
        <v>4</v>
      </c>
    </row>
    <row r="410" spans="1:11" ht="14.25" customHeight="1" x14ac:dyDescent="0.3">
      <c r="A410" s="9" t="s">
        <v>444</v>
      </c>
      <c r="B410" s="9" t="s">
        <v>18</v>
      </c>
      <c r="C410" s="2">
        <v>115</v>
      </c>
      <c r="D410" s="12" t="s">
        <v>19</v>
      </c>
      <c r="E410" s="3">
        <v>45040</v>
      </c>
      <c r="F410" s="15">
        <v>111</v>
      </c>
      <c r="G410" s="18">
        <v>4.3</v>
      </c>
      <c r="H410" s="9">
        <f>IF(MONTH(Data!$E410)&lt;=6, YEAR(Data!$E410), YEAR(Data!$E410)+1)</f>
        <v>2023</v>
      </c>
      <c r="I410" s="9" t="str">
        <f>TEXT(Data!$E410,"DDDD")</f>
        <v>Monday</v>
      </c>
      <c r="J410" s="9" t="s">
        <v>14</v>
      </c>
      <c r="K410" s="23">
        <f>ROUND(Data!$G410,0)</f>
        <v>4</v>
      </c>
    </row>
    <row r="411" spans="1:11" ht="14.25" customHeight="1" x14ac:dyDescent="0.3">
      <c r="A411" s="9" t="s">
        <v>445</v>
      </c>
      <c r="B411" s="9" t="s">
        <v>88</v>
      </c>
      <c r="C411" s="2">
        <v>26</v>
      </c>
      <c r="D411" s="12" t="s">
        <v>31</v>
      </c>
      <c r="E411" s="3">
        <v>45040</v>
      </c>
      <c r="F411" s="15">
        <v>43</v>
      </c>
      <c r="G411" s="18">
        <v>4.2</v>
      </c>
      <c r="H411" s="9">
        <f>IF(MONTH(Data!$E411)&lt;=6, YEAR(Data!$E411), YEAR(Data!$E411)+1)</f>
        <v>2023</v>
      </c>
      <c r="I411" s="9" t="str">
        <f>TEXT(Data!$E411,"DDDD")</f>
        <v>Monday</v>
      </c>
      <c r="J411" s="9" t="s">
        <v>47</v>
      </c>
      <c r="K411" s="23">
        <f>ROUND(Data!$G411,0)</f>
        <v>4</v>
      </c>
    </row>
    <row r="412" spans="1:11" ht="14.25" customHeight="1" x14ac:dyDescent="0.3">
      <c r="A412" s="9" t="s">
        <v>446</v>
      </c>
      <c r="B412" s="9" t="s">
        <v>34</v>
      </c>
      <c r="C412" s="2">
        <v>131</v>
      </c>
      <c r="D412" s="12" t="s">
        <v>35</v>
      </c>
      <c r="E412" s="3">
        <v>45040</v>
      </c>
      <c r="F412" s="15">
        <v>41</v>
      </c>
      <c r="G412" s="18">
        <v>4.9000000000000004</v>
      </c>
      <c r="H412" s="9">
        <f>IF(MONTH(Data!$E412)&lt;=6, YEAR(Data!$E412), YEAR(Data!$E412)+1)</f>
        <v>2023</v>
      </c>
      <c r="I412" s="9" t="str">
        <f>TEXT(Data!$E412,"DDDD")</f>
        <v>Monday</v>
      </c>
      <c r="J412" s="9" t="s">
        <v>25</v>
      </c>
      <c r="K412" s="23">
        <f>ROUND(Data!$G412,0)</f>
        <v>5</v>
      </c>
    </row>
    <row r="413" spans="1:11" ht="14.25" customHeight="1" x14ac:dyDescent="0.3">
      <c r="A413" s="9" t="s">
        <v>447</v>
      </c>
      <c r="B413" s="9" t="s">
        <v>18</v>
      </c>
      <c r="C413" s="2">
        <v>27</v>
      </c>
      <c r="D413" s="12" t="s">
        <v>35</v>
      </c>
      <c r="E413" s="3">
        <v>45040</v>
      </c>
      <c r="F413" s="15">
        <v>74</v>
      </c>
      <c r="G413" s="18">
        <v>4</v>
      </c>
      <c r="H413" s="9">
        <f>IF(MONTH(Data!$E413)&lt;=6, YEAR(Data!$E413), YEAR(Data!$E413)+1)</f>
        <v>2023</v>
      </c>
      <c r="I413" s="9" t="str">
        <f>TEXT(Data!$E413,"DDDD")</f>
        <v>Monday</v>
      </c>
      <c r="J413" s="9" t="s">
        <v>47</v>
      </c>
      <c r="K413" s="23">
        <f>ROUND(Data!$G413,0)</f>
        <v>4</v>
      </c>
    </row>
    <row r="414" spans="1:11" ht="14.25" customHeight="1" x14ac:dyDescent="0.3">
      <c r="A414" s="9" t="s">
        <v>448</v>
      </c>
      <c r="B414" s="9" t="s">
        <v>58</v>
      </c>
      <c r="C414" s="2">
        <v>75</v>
      </c>
      <c r="D414" s="12" t="s">
        <v>24</v>
      </c>
      <c r="E414" s="3">
        <v>45040</v>
      </c>
      <c r="F414" s="15">
        <v>43</v>
      </c>
      <c r="G414" s="18">
        <v>4.9000000000000004</v>
      </c>
      <c r="H414" s="9">
        <f>IF(MONTH(Data!$E414)&lt;=6, YEAR(Data!$E414), YEAR(Data!$E414)+1)</f>
        <v>2023</v>
      </c>
      <c r="I414" s="9" t="str">
        <f>TEXT(Data!$E414,"DDDD")</f>
        <v>Monday</v>
      </c>
      <c r="J414" s="9" t="s">
        <v>14</v>
      </c>
      <c r="K414" s="23">
        <f>ROUND(Data!$G414,0)</f>
        <v>5</v>
      </c>
    </row>
    <row r="415" spans="1:11" ht="14.25" customHeight="1" x14ac:dyDescent="0.3">
      <c r="A415" s="9" t="s">
        <v>449</v>
      </c>
      <c r="B415" s="9" t="s">
        <v>50</v>
      </c>
      <c r="C415" s="2">
        <v>123</v>
      </c>
      <c r="D415" s="12" t="s">
        <v>35</v>
      </c>
      <c r="E415" s="3">
        <v>45040</v>
      </c>
      <c r="F415" s="15">
        <v>128</v>
      </c>
      <c r="G415" s="18">
        <v>3.6</v>
      </c>
      <c r="H415" s="9">
        <f>IF(MONTH(Data!$E415)&lt;=6, YEAR(Data!$E415), YEAR(Data!$E415)+1)</f>
        <v>2023</v>
      </c>
      <c r="I415" s="9" t="str">
        <f>TEXT(Data!$E415,"DDDD")</f>
        <v>Monday</v>
      </c>
      <c r="J415" s="9" t="s">
        <v>25</v>
      </c>
      <c r="K415" s="23">
        <f>ROUND(Data!$G415,0)</f>
        <v>4</v>
      </c>
    </row>
    <row r="416" spans="1:11" ht="14.25" customHeight="1" x14ac:dyDescent="0.3">
      <c r="A416" s="9" t="s">
        <v>450</v>
      </c>
      <c r="B416" s="9" t="s">
        <v>12</v>
      </c>
      <c r="C416" s="2">
        <v>129</v>
      </c>
      <c r="D416" s="12" t="s">
        <v>35</v>
      </c>
      <c r="E416" s="3">
        <v>45041</v>
      </c>
      <c r="F416" s="15">
        <v>144</v>
      </c>
      <c r="G416" s="18">
        <v>4.0999999999999996</v>
      </c>
      <c r="H416" s="9">
        <f>IF(MONTH(Data!$E416)&lt;=6, YEAR(Data!$E416), YEAR(Data!$E416)+1)</f>
        <v>2023</v>
      </c>
      <c r="I416" s="9" t="str">
        <f>TEXT(Data!$E416,"DDDD")</f>
        <v>Tuesday</v>
      </c>
      <c r="J416" s="9" t="s">
        <v>25</v>
      </c>
      <c r="K416" s="23">
        <f>ROUND(Data!$G416,0)</f>
        <v>4</v>
      </c>
    </row>
    <row r="417" spans="1:11" ht="14.25" customHeight="1" x14ac:dyDescent="0.3">
      <c r="A417" s="9" t="s">
        <v>451</v>
      </c>
      <c r="B417" s="9" t="s">
        <v>58</v>
      </c>
      <c r="C417" s="2">
        <v>124</v>
      </c>
      <c r="D417" s="12" t="s">
        <v>19</v>
      </c>
      <c r="E417" s="3">
        <v>45041</v>
      </c>
      <c r="F417" s="15">
        <v>132</v>
      </c>
      <c r="G417" s="18">
        <v>4.9000000000000004</v>
      </c>
      <c r="H417" s="9">
        <f>IF(MONTH(Data!$E417)&lt;=6, YEAR(Data!$E417), YEAR(Data!$E417)+1)</f>
        <v>2023</v>
      </c>
      <c r="I417" s="9" t="str">
        <f>TEXT(Data!$E417,"DDDD")</f>
        <v>Tuesday</v>
      </c>
      <c r="J417" s="9" t="s">
        <v>25</v>
      </c>
      <c r="K417" s="23">
        <f>ROUND(Data!$G417,0)</f>
        <v>5</v>
      </c>
    </row>
    <row r="418" spans="1:11" ht="14.25" customHeight="1" x14ac:dyDescent="0.3">
      <c r="A418" s="9" t="s">
        <v>452</v>
      </c>
      <c r="B418" s="9" t="s">
        <v>18</v>
      </c>
      <c r="C418" s="2">
        <v>108</v>
      </c>
      <c r="D418" s="12" t="s">
        <v>19</v>
      </c>
      <c r="E418" s="3">
        <v>45041</v>
      </c>
      <c r="F418" s="15">
        <v>180</v>
      </c>
      <c r="G418" s="18">
        <v>3.9</v>
      </c>
      <c r="H418" s="9">
        <f>IF(MONTH(Data!$E418)&lt;=6, YEAR(Data!$E418), YEAR(Data!$E418)+1)</f>
        <v>2023</v>
      </c>
      <c r="I418" s="9" t="str">
        <f>TEXT(Data!$E418,"DDDD")</f>
        <v>Tuesday</v>
      </c>
      <c r="J418" s="9" t="s">
        <v>14</v>
      </c>
      <c r="K418" s="23">
        <f>ROUND(Data!$G418,0)</f>
        <v>4</v>
      </c>
    </row>
    <row r="419" spans="1:11" ht="14.25" customHeight="1" x14ac:dyDescent="0.3">
      <c r="A419" s="9" t="s">
        <v>453</v>
      </c>
      <c r="B419" s="9" t="s">
        <v>23</v>
      </c>
      <c r="C419" s="2">
        <v>15</v>
      </c>
      <c r="D419" s="12" t="s">
        <v>19</v>
      </c>
      <c r="E419" s="3">
        <v>45041</v>
      </c>
      <c r="F419" s="15">
        <v>31</v>
      </c>
      <c r="G419" s="18">
        <v>4.0999999999999996</v>
      </c>
      <c r="H419" s="9">
        <f>IF(MONTH(Data!$E419)&lt;=6, YEAR(Data!$E419), YEAR(Data!$E419)+1)</f>
        <v>2023</v>
      </c>
      <c r="I419" s="9" t="str">
        <f>TEXT(Data!$E419,"DDDD")</f>
        <v>Tuesday</v>
      </c>
      <c r="J419" s="9" t="s">
        <v>47</v>
      </c>
      <c r="K419" s="23">
        <f>ROUND(Data!$G419,0)</f>
        <v>4</v>
      </c>
    </row>
    <row r="420" spans="1:11" ht="14.25" customHeight="1" x14ac:dyDescent="0.3">
      <c r="A420" s="9" t="s">
        <v>454</v>
      </c>
      <c r="B420" s="9" t="s">
        <v>18</v>
      </c>
      <c r="C420" s="2">
        <v>66</v>
      </c>
      <c r="D420" s="12" t="s">
        <v>19</v>
      </c>
      <c r="E420" s="3">
        <v>45041</v>
      </c>
      <c r="F420" s="15">
        <v>102</v>
      </c>
      <c r="G420" s="18">
        <v>3.8</v>
      </c>
      <c r="H420" s="9">
        <f>IF(MONTH(Data!$E420)&lt;=6, YEAR(Data!$E420), YEAR(Data!$E420)+1)</f>
        <v>2023</v>
      </c>
      <c r="I420" s="9" t="str">
        <f>TEXT(Data!$E420,"DDDD")</f>
        <v>Tuesday</v>
      </c>
      <c r="J420" s="9" t="s">
        <v>14</v>
      </c>
      <c r="K420" s="23">
        <f>ROUND(Data!$G420,0)</f>
        <v>4</v>
      </c>
    </row>
    <row r="421" spans="1:11" ht="14.25" customHeight="1" x14ac:dyDescent="0.3">
      <c r="A421" s="9" t="s">
        <v>455</v>
      </c>
      <c r="B421" s="9" t="s">
        <v>29</v>
      </c>
      <c r="C421" s="2">
        <v>126</v>
      </c>
      <c r="D421" s="12" t="s">
        <v>24</v>
      </c>
      <c r="E421" s="3">
        <v>45042</v>
      </c>
      <c r="F421" s="15">
        <v>175</v>
      </c>
      <c r="G421" s="18">
        <v>4.8</v>
      </c>
      <c r="H421" s="9">
        <f>IF(MONTH(Data!$E421)&lt;=6, YEAR(Data!$E421), YEAR(Data!$E421)+1)</f>
        <v>2023</v>
      </c>
      <c r="I421" s="9" t="str">
        <f>TEXT(Data!$E421,"DDDD")</f>
        <v>Wednesday</v>
      </c>
      <c r="J421" s="9" t="s">
        <v>25</v>
      </c>
      <c r="K421" s="23">
        <f>ROUND(Data!$G421,0)</f>
        <v>5</v>
      </c>
    </row>
    <row r="422" spans="1:11" ht="14.25" customHeight="1" x14ac:dyDescent="0.3">
      <c r="A422" s="9" t="s">
        <v>456</v>
      </c>
      <c r="B422" s="9" t="s">
        <v>58</v>
      </c>
      <c r="C422" s="2">
        <v>26</v>
      </c>
      <c r="D422" s="12" t="s">
        <v>13</v>
      </c>
      <c r="E422" s="3">
        <v>45042</v>
      </c>
      <c r="F422" s="15">
        <v>87</v>
      </c>
      <c r="G422" s="18">
        <v>4.7</v>
      </c>
      <c r="H422" s="9">
        <f>IF(MONTH(Data!$E422)&lt;=6, YEAR(Data!$E422), YEAR(Data!$E422)+1)</f>
        <v>2023</v>
      </c>
      <c r="I422" s="9" t="str">
        <f>TEXT(Data!$E422,"DDDD")</f>
        <v>Wednesday</v>
      </c>
      <c r="J422" s="9" t="s">
        <v>47</v>
      </c>
      <c r="K422" s="23">
        <f>ROUND(Data!$G422,0)</f>
        <v>5</v>
      </c>
    </row>
    <row r="423" spans="1:11" ht="14.25" customHeight="1" x14ac:dyDescent="0.3">
      <c r="A423" s="9" t="s">
        <v>457</v>
      </c>
      <c r="B423" s="9" t="s">
        <v>40</v>
      </c>
      <c r="C423" s="2">
        <v>105</v>
      </c>
      <c r="D423" s="12" t="s">
        <v>24</v>
      </c>
      <c r="E423" s="3">
        <v>45042</v>
      </c>
      <c r="F423" s="15">
        <v>66</v>
      </c>
      <c r="G423" s="18">
        <v>4.2</v>
      </c>
      <c r="H423" s="9">
        <f>IF(MONTH(Data!$E423)&lt;=6, YEAR(Data!$E423), YEAR(Data!$E423)+1)</f>
        <v>2023</v>
      </c>
      <c r="I423" s="9" t="str">
        <f>TEXT(Data!$E423,"DDDD")</f>
        <v>Wednesday</v>
      </c>
      <c r="J423" s="9" t="s">
        <v>14</v>
      </c>
      <c r="K423" s="23">
        <f>ROUND(Data!$G423,0)</f>
        <v>4</v>
      </c>
    </row>
    <row r="424" spans="1:11" ht="14.25" customHeight="1" x14ac:dyDescent="0.3">
      <c r="A424" s="9" t="s">
        <v>458</v>
      </c>
      <c r="B424" s="9" t="s">
        <v>40</v>
      </c>
      <c r="C424" s="2">
        <v>31</v>
      </c>
      <c r="D424" s="12" t="s">
        <v>24</v>
      </c>
      <c r="E424" s="3">
        <v>45042</v>
      </c>
      <c r="F424" s="15">
        <v>25</v>
      </c>
      <c r="G424" s="18">
        <v>3.2</v>
      </c>
      <c r="H424" s="9">
        <f>IF(MONTH(Data!$E424)&lt;=6, YEAR(Data!$E424), YEAR(Data!$E424)+1)</f>
        <v>2023</v>
      </c>
      <c r="I424" s="9" t="str">
        <f>TEXT(Data!$E424,"DDDD")</f>
        <v>Wednesday</v>
      </c>
      <c r="J424" s="9" t="s">
        <v>27</v>
      </c>
      <c r="K424" s="23">
        <f>ROUND(Data!$G424,0)</f>
        <v>3</v>
      </c>
    </row>
    <row r="425" spans="1:11" ht="14.25" customHeight="1" x14ac:dyDescent="0.3">
      <c r="A425" s="9" t="s">
        <v>459</v>
      </c>
      <c r="B425" s="9" t="s">
        <v>18</v>
      </c>
      <c r="C425" s="2">
        <v>109</v>
      </c>
      <c r="D425" s="12" t="s">
        <v>19</v>
      </c>
      <c r="E425" s="3">
        <v>45042</v>
      </c>
      <c r="F425" s="15">
        <v>126</v>
      </c>
      <c r="G425" s="18">
        <v>3.4</v>
      </c>
      <c r="H425" s="9">
        <f>IF(MONTH(Data!$E425)&lt;=6, YEAR(Data!$E425), YEAR(Data!$E425)+1)</f>
        <v>2023</v>
      </c>
      <c r="I425" s="9" t="str">
        <f>TEXT(Data!$E425,"DDDD")</f>
        <v>Wednesday</v>
      </c>
      <c r="J425" s="9" t="s">
        <v>14</v>
      </c>
      <c r="K425" s="23">
        <f>ROUND(Data!$G425,0)</f>
        <v>3</v>
      </c>
    </row>
    <row r="426" spans="1:11" ht="14.25" customHeight="1" x14ac:dyDescent="0.3">
      <c r="A426" s="9" t="s">
        <v>460</v>
      </c>
      <c r="B426" s="9" t="s">
        <v>12</v>
      </c>
      <c r="C426" s="2">
        <v>113</v>
      </c>
      <c r="D426" s="12" t="s">
        <v>31</v>
      </c>
      <c r="E426" s="3">
        <v>45043</v>
      </c>
      <c r="F426" s="15">
        <v>42</v>
      </c>
      <c r="G426" s="18">
        <v>4.5999999999999996</v>
      </c>
      <c r="H426" s="9">
        <f>IF(MONTH(Data!$E426)&lt;=6, YEAR(Data!$E426), YEAR(Data!$E426)+1)</f>
        <v>2023</v>
      </c>
      <c r="I426" s="9" t="str">
        <f>TEXT(Data!$E426,"DDDD")</f>
        <v>Thursday</v>
      </c>
      <c r="J426" s="9" t="s">
        <v>14</v>
      </c>
      <c r="K426" s="23">
        <f>ROUND(Data!$G426,0)</f>
        <v>5</v>
      </c>
    </row>
    <row r="427" spans="1:11" ht="14.25" customHeight="1" x14ac:dyDescent="0.3">
      <c r="A427" s="9" t="s">
        <v>461</v>
      </c>
      <c r="B427" s="9" t="s">
        <v>29</v>
      </c>
      <c r="C427" s="2">
        <v>101</v>
      </c>
      <c r="D427" s="12" t="s">
        <v>13</v>
      </c>
      <c r="E427" s="3">
        <v>45043</v>
      </c>
      <c r="F427" s="15">
        <v>225</v>
      </c>
      <c r="G427" s="18">
        <v>1.9</v>
      </c>
      <c r="H427" s="9">
        <f>IF(MONTH(Data!$E427)&lt;=6, YEAR(Data!$E427), YEAR(Data!$E427)+1)</f>
        <v>2023</v>
      </c>
      <c r="I427" s="9" t="str">
        <f>TEXT(Data!$E427,"DDDD")</f>
        <v>Thursday</v>
      </c>
      <c r="J427" s="9" t="s">
        <v>14</v>
      </c>
      <c r="K427" s="23">
        <f>ROUND(Data!$G427,0)</f>
        <v>2</v>
      </c>
    </row>
    <row r="428" spans="1:11" ht="14.25" customHeight="1" x14ac:dyDescent="0.3">
      <c r="A428" s="9" t="s">
        <v>462</v>
      </c>
      <c r="B428" s="9" t="s">
        <v>21</v>
      </c>
      <c r="C428" s="2">
        <v>156</v>
      </c>
      <c r="D428" s="12" t="s">
        <v>13</v>
      </c>
      <c r="E428" s="3">
        <v>45043</v>
      </c>
      <c r="F428" s="15">
        <v>42</v>
      </c>
      <c r="G428" s="18">
        <v>3.3</v>
      </c>
      <c r="H428" s="9">
        <f>IF(MONTH(Data!$E428)&lt;=6, YEAR(Data!$E428), YEAR(Data!$E428)+1)</f>
        <v>2023</v>
      </c>
      <c r="I428" s="9" t="str">
        <f>TEXT(Data!$E428,"DDDD")</f>
        <v>Thursday</v>
      </c>
      <c r="J428" s="9" t="s">
        <v>25</v>
      </c>
      <c r="K428" s="23">
        <f>ROUND(Data!$G428,0)</f>
        <v>3</v>
      </c>
    </row>
    <row r="429" spans="1:11" ht="14.25" customHeight="1" x14ac:dyDescent="0.3">
      <c r="A429" s="9" t="s">
        <v>463</v>
      </c>
      <c r="B429" s="9" t="s">
        <v>18</v>
      </c>
      <c r="C429" s="2">
        <v>145</v>
      </c>
      <c r="D429" s="12" t="s">
        <v>31</v>
      </c>
      <c r="E429" s="3">
        <v>45044</v>
      </c>
      <c r="F429" s="15">
        <v>110</v>
      </c>
      <c r="G429" s="18">
        <v>3.1</v>
      </c>
      <c r="H429" s="9">
        <f>IF(MONTH(Data!$E429)&lt;=6, YEAR(Data!$E429), YEAR(Data!$E429)+1)</f>
        <v>2023</v>
      </c>
      <c r="I429" s="9" t="str">
        <f>TEXT(Data!$E429,"DDDD")</f>
        <v>Friday</v>
      </c>
      <c r="J429" s="9" t="s">
        <v>25</v>
      </c>
      <c r="K429" s="23">
        <f>ROUND(Data!$G429,0)</f>
        <v>3</v>
      </c>
    </row>
    <row r="430" spans="1:11" ht="14.25" customHeight="1" x14ac:dyDescent="0.3">
      <c r="A430" s="9" t="s">
        <v>464</v>
      </c>
      <c r="B430" s="9" t="s">
        <v>50</v>
      </c>
      <c r="C430" s="2">
        <v>36</v>
      </c>
      <c r="D430" s="12" t="s">
        <v>19</v>
      </c>
      <c r="E430" s="3">
        <v>45044</v>
      </c>
      <c r="F430" s="15">
        <v>225</v>
      </c>
      <c r="G430" s="18">
        <v>4.8</v>
      </c>
      <c r="H430" s="9">
        <f>IF(MONTH(Data!$E430)&lt;=6, YEAR(Data!$E430), YEAR(Data!$E430)+1)</f>
        <v>2023</v>
      </c>
      <c r="I430" s="9" t="str">
        <f>TEXT(Data!$E430,"DDDD")</f>
        <v>Friday</v>
      </c>
      <c r="J430" s="9" t="s">
        <v>27</v>
      </c>
      <c r="K430" s="23">
        <f>ROUND(Data!$G430,0)</f>
        <v>5</v>
      </c>
    </row>
    <row r="431" spans="1:11" ht="14.25" customHeight="1" x14ac:dyDescent="0.3">
      <c r="A431" s="9" t="s">
        <v>465</v>
      </c>
      <c r="B431" s="9" t="s">
        <v>40</v>
      </c>
      <c r="C431" s="2">
        <v>135</v>
      </c>
      <c r="D431" s="12" t="s">
        <v>35</v>
      </c>
      <c r="E431" s="3">
        <v>45045</v>
      </c>
      <c r="F431" s="15">
        <v>125</v>
      </c>
      <c r="G431" s="18">
        <v>3.3</v>
      </c>
      <c r="H431" s="9">
        <f>IF(MONTH(Data!$E431)&lt;=6, YEAR(Data!$E431), YEAR(Data!$E431)+1)</f>
        <v>2023</v>
      </c>
      <c r="I431" s="9" t="str">
        <f>TEXT(Data!$E431,"DDDD")</f>
        <v>Saturday</v>
      </c>
      <c r="J431" s="9" t="s">
        <v>25</v>
      </c>
      <c r="K431" s="23">
        <f>ROUND(Data!$G431,0)</f>
        <v>3</v>
      </c>
    </row>
    <row r="432" spans="1:11" ht="14.25" customHeight="1" x14ac:dyDescent="0.3">
      <c r="A432" s="9" t="s">
        <v>466</v>
      </c>
      <c r="B432" s="9" t="s">
        <v>29</v>
      </c>
      <c r="C432" s="2">
        <v>81</v>
      </c>
      <c r="D432" s="12" t="s">
        <v>19</v>
      </c>
      <c r="E432" s="3">
        <v>45045</v>
      </c>
      <c r="F432" s="15">
        <v>78</v>
      </c>
      <c r="G432" s="18">
        <v>2.9</v>
      </c>
      <c r="H432" s="9">
        <f>IF(MONTH(Data!$E432)&lt;=6, YEAR(Data!$E432), YEAR(Data!$E432)+1)</f>
        <v>2023</v>
      </c>
      <c r="I432" s="9" t="str">
        <f>TEXT(Data!$E432,"DDDD")</f>
        <v>Saturday</v>
      </c>
      <c r="J432" s="9" t="s">
        <v>14</v>
      </c>
      <c r="K432" s="23">
        <f>ROUND(Data!$G432,0)</f>
        <v>3</v>
      </c>
    </row>
    <row r="433" spans="1:11" ht="14.25" customHeight="1" x14ac:dyDescent="0.3">
      <c r="A433" s="9" t="s">
        <v>467</v>
      </c>
      <c r="B433" s="9" t="s">
        <v>29</v>
      </c>
      <c r="C433" s="2">
        <v>81</v>
      </c>
      <c r="D433" s="12" t="s">
        <v>31</v>
      </c>
      <c r="E433" s="3">
        <v>45045</v>
      </c>
      <c r="F433" s="15">
        <v>40</v>
      </c>
      <c r="G433" s="18">
        <v>2.4</v>
      </c>
      <c r="H433" s="9">
        <f>IF(MONTH(Data!$E433)&lt;=6, YEAR(Data!$E433), YEAR(Data!$E433)+1)</f>
        <v>2023</v>
      </c>
      <c r="I433" s="9" t="str">
        <f>TEXT(Data!$E433,"DDDD")</f>
        <v>Saturday</v>
      </c>
      <c r="J433" s="9" t="s">
        <v>14</v>
      </c>
      <c r="K433" s="23">
        <f>ROUND(Data!$G433,0)</f>
        <v>2</v>
      </c>
    </row>
    <row r="434" spans="1:11" ht="14.25" customHeight="1" x14ac:dyDescent="0.3">
      <c r="A434" s="9" t="s">
        <v>468</v>
      </c>
      <c r="B434" s="9" t="s">
        <v>46</v>
      </c>
      <c r="C434" s="2">
        <v>93</v>
      </c>
      <c r="D434" s="12" t="s">
        <v>24</v>
      </c>
      <c r="E434" s="3">
        <v>45045</v>
      </c>
      <c r="F434" s="15">
        <v>150</v>
      </c>
      <c r="G434" s="18">
        <v>4.5999999999999996</v>
      </c>
      <c r="H434" s="9">
        <f>IF(MONTH(Data!$E434)&lt;=6, YEAR(Data!$E434), YEAR(Data!$E434)+1)</f>
        <v>2023</v>
      </c>
      <c r="I434" s="9" t="str">
        <f>TEXT(Data!$E434,"DDDD")</f>
        <v>Saturday</v>
      </c>
      <c r="J434" s="9" t="s">
        <v>14</v>
      </c>
      <c r="K434" s="23">
        <f>ROUND(Data!$G434,0)</f>
        <v>5</v>
      </c>
    </row>
    <row r="435" spans="1:11" ht="14.25" customHeight="1" x14ac:dyDescent="0.3">
      <c r="A435" s="9" t="s">
        <v>469</v>
      </c>
      <c r="B435" s="9" t="s">
        <v>18</v>
      </c>
      <c r="C435" s="2">
        <v>14</v>
      </c>
      <c r="D435" s="12" t="s">
        <v>19</v>
      </c>
      <c r="E435" s="3">
        <v>45045</v>
      </c>
      <c r="F435" s="15">
        <v>96</v>
      </c>
      <c r="G435" s="18">
        <v>4.8</v>
      </c>
      <c r="H435" s="9">
        <f>IF(MONTH(Data!$E435)&lt;=6, YEAR(Data!$E435), YEAR(Data!$E435)+1)</f>
        <v>2023</v>
      </c>
      <c r="I435" s="9" t="str">
        <f>TEXT(Data!$E435,"DDDD")</f>
        <v>Saturday</v>
      </c>
      <c r="J435" s="9" t="s">
        <v>47</v>
      </c>
      <c r="K435" s="23">
        <f>ROUND(Data!$G435,0)</f>
        <v>5</v>
      </c>
    </row>
    <row r="436" spans="1:11" ht="14.25" customHeight="1" x14ac:dyDescent="0.3">
      <c r="A436" s="9" t="s">
        <v>470</v>
      </c>
      <c r="B436" s="9" t="s">
        <v>40</v>
      </c>
      <c r="C436" s="2">
        <v>95</v>
      </c>
      <c r="D436" s="12" t="s">
        <v>31</v>
      </c>
      <c r="E436" s="3">
        <v>45046</v>
      </c>
      <c r="F436" s="15">
        <v>75</v>
      </c>
      <c r="G436" s="18">
        <v>4.8</v>
      </c>
      <c r="H436" s="9">
        <f>IF(MONTH(Data!$E436)&lt;=6, YEAR(Data!$E436), YEAR(Data!$E436)+1)</f>
        <v>2023</v>
      </c>
      <c r="I436" s="9" t="str">
        <f>TEXT(Data!$E436,"DDDD")</f>
        <v>Sunday</v>
      </c>
      <c r="J436" s="9" t="s">
        <v>14</v>
      </c>
      <c r="K436" s="23">
        <f>ROUND(Data!$G436,0)</f>
        <v>5</v>
      </c>
    </row>
    <row r="437" spans="1:11" ht="14.25" customHeight="1" x14ac:dyDescent="0.3">
      <c r="A437" s="9" t="s">
        <v>471</v>
      </c>
      <c r="B437" s="9" t="s">
        <v>46</v>
      </c>
      <c r="C437" s="2">
        <v>81</v>
      </c>
      <c r="D437" s="12" t="s">
        <v>31</v>
      </c>
      <c r="E437" s="3">
        <v>45046</v>
      </c>
      <c r="F437" s="15">
        <v>60</v>
      </c>
      <c r="G437" s="18">
        <v>3.6</v>
      </c>
      <c r="H437" s="9">
        <f>IF(MONTH(Data!$E437)&lt;=6, YEAR(Data!$E437), YEAR(Data!$E437)+1)</f>
        <v>2023</v>
      </c>
      <c r="I437" s="9" t="str">
        <f>TEXT(Data!$E437,"DDDD")</f>
        <v>Sunday</v>
      </c>
      <c r="J437" s="9" t="s">
        <v>14</v>
      </c>
      <c r="K437" s="23">
        <f>ROUND(Data!$G437,0)</f>
        <v>4</v>
      </c>
    </row>
    <row r="438" spans="1:11" ht="14.25" customHeight="1" x14ac:dyDescent="0.3">
      <c r="A438" s="9" t="s">
        <v>472</v>
      </c>
      <c r="B438" s="9" t="s">
        <v>88</v>
      </c>
      <c r="C438" s="2">
        <v>60</v>
      </c>
      <c r="D438" s="12" t="s">
        <v>19</v>
      </c>
      <c r="E438" s="3">
        <v>45047</v>
      </c>
      <c r="F438" s="15">
        <v>41</v>
      </c>
      <c r="G438" s="18">
        <v>4.8</v>
      </c>
      <c r="H438" s="9">
        <f>IF(MONTH(Data!$E438)&lt;=6, YEAR(Data!$E438), YEAR(Data!$E438)+1)</f>
        <v>2023</v>
      </c>
      <c r="I438" s="9" t="str">
        <f>TEXT(Data!$E438,"DDDD")</f>
        <v>Monday</v>
      </c>
      <c r="J438" s="9" t="s">
        <v>27</v>
      </c>
      <c r="K438" s="23">
        <f>ROUND(Data!$G438,0)</f>
        <v>5</v>
      </c>
    </row>
    <row r="439" spans="1:11" ht="14.25" customHeight="1" x14ac:dyDescent="0.3">
      <c r="A439" s="9" t="s">
        <v>473</v>
      </c>
      <c r="B439" s="9" t="s">
        <v>38</v>
      </c>
      <c r="C439" s="2">
        <v>137</v>
      </c>
      <c r="D439" s="12" t="s">
        <v>24</v>
      </c>
      <c r="E439" s="3">
        <v>45047</v>
      </c>
      <c r="F439" s="15">
        <v>20</v>
      </c>
      <c r="G439" s="18">
        <v>4.2</v>
      </c>
      <c r="H439" s="9">
        <f>IF(MONTH(Data!$E439)&lt;=6, YEAR(Data!$E439), YEAR(Data!$E439)+1)</f>
        <v>2023</v>
      </c>
      <c r="I439" s="9" t="str">
        <f>TEXT(Data!$E439,"DDDD")</f>
        <v>Monday</v>
      </c>
      <c r="J439" s="9" t="s">
        <v>25</v>
      </c>
      <c r="K439" s="23">
        <f>ROUND(Data!$G439,0)</f>
        <v>4</v>
      </c>
    </row>
    <row r="440" spans="1:11" ht="14.25" customHeight="1" x14ac:dyDescent="0.3">
      <c r="A440" s="9" t="s">
        <v>474</v>
      </c>
      <c r="B440" s="9" t="s">
        <v>16</v>
      </c>
      <c r="C440" s="2">
        <v>112</v>
      </c>
      <c r="D440" s="12" t="s">
        <v>35</v>
      </c>
      <c r="E440" s="3">
        <v>45047</v>
      </c>
      <c r="F440" s="15">
        <v>84</v>
      </c>
      <c r="G440" s="18">
        <v>2.6</v>
      </c>
      <c r="H440" s="9">
        <f>IF(MONTH(Data!$E440)&lt;=6, YEAR(Data!$E440), YEAR(Data!$E440)+1)</f>
        <v>2023</v>
      </c>
      <c r="I440" s="9" t="str">
        <f>TEXT(Data!$E440,"DDDD")</f>
        <v>Monday</v>
      </c>
      <c r="J440" s="9" t="s">
        <v>14</v>
      </c>
      <c r="K440" s="23">
        <f>ROUND(Data!$G440,0)</f>
        <v>3</v>
      </c>
    </row>
    <row r="441" spans="1:11" ht="14.25" customHeight="1" x14ac:dyDescent="0.3">
      <c r="A441" s="9" t="s">
        <v>475</v>
      </c>
      <c r="B441" s="9" t="s">
        <v>40</v>
      </c>
      <c r="C441" s="2">
        <v>76</v>
      </c>
      <c r="D441" s="12" t="s">
        <v>13</v>
      </c>
      <c r="E441" s="3">
        <v>45047</v>
      </c>
      <c r="F441" s="15">
        <v>140</v>
      </c>
      <c r="G441" s="18">
        <v>3.7</v>
      </c>
      <c r="H441" s="9">
        <f>IF(MONTH(Data!$E441)&lt;=6, YEAR(Data!$E441), YEAR(Data!$E441)+1)</f>
        <v>2023</v>
      </c>
      <c r="I441" s="9" t="str">
        <f>TEXT(Data!$E441,"DDDD")</f>
        <v>Monday</v>
      </c>
      <c r="J441" s="9" t="s">
        <v>14</v>
      </c>
      <c r="K441" s="23">
        <f>ROUND(Data!$G441,0)</f>
        <v>4</v>
      </c>
    </row>
    <row r="442" spans="1:11" ht="14.25" customHeight="1" x14ac:dyDescent="0.3">
      <c r="A442" s="9" t="s">
        <v>476</v>
      </c>
      <c r="B442" s="9" t="s">
        <v>55</v>
      </c>
      <c r="C442" s="2">
        <v>73</v>
      </c>
      <c r="D442" s="12" t="s">
        <v>19</v>
      </c>
      <c r="E442" s="3">
        <v>45047</v>
      </c>
      <c r="F442" s="15">
        <v>66</v>
      </c>
      <c r="G442" s="18">
        <v>4.8</v>
      </c>
      <c r="H442" s="9">
        <f>IF(MONTH(Data!$E442)&lt;=6, YEAR(Data!$E442), YEAR(Data!$E442)+1)</f>
        <v>2023</v>
      </c>
      <c r="I442" s="9" t="str">
        <f>TEXT(Data!$E442,"DDDD")</f>
        <v>Monday</v>
      </c>
      <c r="J442" s="9" t="s">
        <v>14</v>
      </c>
      <c r="K442" s="23">
        <f>ROUND(Data!$G442,0)</f>
        <v>5</v>
      </c>
    </row>
    <row r="443" spans="1:11" ht="14.25" customHeight="1" x14ac:dyDescent="0.3">
      <c r="A443" s="9" t="s">
        <v>477</v>
      </c>
      <c r="B443" s="9" t="s">
        <v>34</v>
      </c>
      <c r="C443" s="2">
        <v>119</v>
      </c>
      <c r="D443" s="12" t="s">
        <v>24</v>
      </c>
      <c r="E443" s="3">
        <v>45047</v>
      </c>
      <c r="F443" s="15">
        <v>105</v>
      </c>
      <c r="G443" s="18">
        <v>4.7</v>
      </c>
      <c r="H443" s="9">
        <f>IF(MONTH(Data!$E443)&lt;=6, YEAR(Data!$E443), YEAR(Data!$E443)+1)</f>
        <v>2023</v>
      </c>
      <c r="I443" s="9" t="str">
        <f>TEXT(Data!$E443,"DDDD")</f>
        <v>Monday</v>
      </c>
      <c r="J443" s="9" t="s">
        <v>14</v>
      </c>
      <c r="K443" s="23">
        <f>ROUND(Data!$G443,0)</f>
        <v>5</v>
      </c>
    </row>
    <row r="444" spans="1:11" ht="14.25" customHeight="1" x14ac:dyDescent="0.3">
      <c r="A444" s="9" t="s">
        <v>478</v>
      </c>
      <c r="B444" s="9" t="s">
        <v>12</v>
      </c>
      <c r="C444" s="2">
        <v>135</v>
      </c>
      <c r="D444" s="12" t="s">
        <v>31</v>
      </c>
      <c r="E444" s="3">
        <v>45048</v>
      </c>
      <c r="F444" s="15">
        <v>104</v>
      </c>
      <c r="G444" s="18">
        <v>4.0999999999999996</v>
      </c>
      <c r="H444" s="9">
        <f>IF(MONTH(Data!$E444)&lt;=6, YEAR(Data!$E444), YEAR(Data!$E444)+1)</f>
        <v>2023</v>
      </c>
      <c r="I444" s="9" t="str">
        <f>TEXT(Data!$E444,"DDDD")</f>
        <v>Tuesday</v>
      </c>
      <c r="J444" s="9" t="s">
        <v>25</v>
      </c>
      <c r="K444" s="23">
        <f>ROUND(Data!$G444,0)</f>
        <v>4</v>
      </c>
    </row>
    <row r="445" spans="1:11" ht="14.25" customHeight="1" x14ac:dyDescent="0.3">
      <c r="A445" s="9" t="s">
        <v>479</v>
      </c>
      <c r="B445" s="9" t="s">
        <v>38</v>
      </c>
      <c r="C445" s="2">
        <v>41</v>
      </c>
      <c r="D445" s="12" t="s">
        <v>35</v>
      </c>
      <c r="E445" s="3">
        <v>45048</v>
      </c>
      <c r="F445" s="15">
        <v>123</v>
      </c>
      <c r="G445" s="18">
        <v>3.2</v>
      </c>
      <c r="H445" s="9">
        <f>IF(MONTH(Data!$E445)&lt;=6, YEAR(Data!$E445), YEAR(Data!$E445)+1)</f>
        <v>2023</v>
      </c>
      <c r="I445" s="9" t="str">
        <f>TEXT(Data!$E445,"DDDD")</f>
        <v>Tuesday</v>
      </c>
      <c r="J445" s="9" t="s">
        <v>27</v>
      </c>
      <c r="K445" s="23">
        <f>ROUND(Data!$G445,0)</f>
        <v>3</v>
      </c>
    </row>
    <row r="446" spans="1:11" ht="14.25" customHeight="1" x14ac:dyDescent="0.3">
      <c r="A446" s="9" t="s">
        <v>480</v>
      </c>
      <c r="B446" s="9" t="s">
        <v>18</v>
      </c>
      <c r="C446" s="2">
        <v>35</v>
      </c>
      <c r="D446" s="12" t="s">
        <v>31</v>
      </c>
      <c r="E446" s="3">
        <v>45049</v>
      </c>
      <c r="F446" s="15">
        <v>215</v>
      </c>
      <c r="G446" s="18">
        <v>4.3</v>
      </c>
      <c r="H446" s="9">
        <f>IF(MONTH(Data!$E446)&lt;=6, YEAR(Data!$E446), YEAR(Data!$E446)+1)</f>
        <v>2023</v>
      </c>
      <c r="I446" s="9" t="str">
        <f>TEXT(Data!$E446,"DDDD")</f>
        <v>Wednesday</v>
      </c>
      <c r="J446" s="9" t="s">
        <v>27</v>
      </c>
      <c r="K446" s="23">
        <f>ROUND(Data!$G446,0)</f>
        <v>4</v>
      </c>
    </row>
    <row r="447" spans="1:11" ht="14.25" customHeight="1" x14ac:dyDescent="0.3">
      <c r="A447" s="9" t="s">
        <v>481</v>
      </c>
      <c r="B447" s="9" t="s">
        <v>12</v>
      </c>
      <c r="C447" s="2">
        <v>96</v>
      </c>
      <c r="D447" s="12" t="s">
        <v>19</v>
      </c>
      <c r="E447" s="3">
        <v>45049</v>
      </c>
      <c r="F447" s="15">
        <v>46</v>
      </c>
      <c r="G447" s="18">
        <v>0.7</v>
      </c>
      <c r="H447" s="9">
        <f>IF(MONTH(Data!$E447)&lt;=6, YEAR(Data!$E447), YEAR(Data!$E447)+1)</f>
        <v>2023</v>
      </c>
      <c r="I447" s="9" t="str">
        <f>TEXT(Data!$E447,"DDDD")</f>
        <v>Wednesday</v>
      </c>
      <c r="J447" s="9" t="s">
        <v>14</v>
      </c>
      <c r="K447" s="23">
        <f>ROUND(Data!$G447,0)</f>
        <v>1</v>
      </c>
    </row>
    <row r="448" spans="1:11" ht="14.25" customHeight="1" x14ac:dyDescent="0.3">
      <c r="A448" s="9" t="s">
        <v>482</v>
      </c>
      <c r="B448" s="9" t="s">
        <v>46</v>
      </c>
      <c r="C448" s="2">
        <v>61</v>
      </c>
      <c r="D448" s="12" t="s">
        <v>35</v>
      </c>
      <c r="E448" s="3">
        <v>45049</v>
      </c>
      <c r="F448" s="15">
        <v>115</v>
      </c>
      <c r="G448" s="18">
        <v>3.7</v>
      </c>
      <c r="H448" s="9">
        <f>IF(MONTH(Data!$E448)&lt;=6, YEAR(Data!$E448), YEAR(Data!$E448)+1)</f>
        <v>2023</v>
      </c>
      <c r="I448" s="9" t="str">
        <f>TEXT(Data!$E448,"DDDD")</f>
        <v>Wednesday</v>
      </c>
      <c r="J448" s="9" t="s">
        <v>14</v>
      </c>
      <c r="K448" s="23">
        <f>ROUND(Data!$G448,0)</f>
        <v>4</v>
      </c>
    </row>
    <row r="449" spans="1:11" ht="14.25" customHeight="1" x14ac:dyDescent="0.3">
      <c r="A449" s="9" t="s">
        <v>483</v>
      </c>
      <c r="B449" s="9" t="s">
        <v>12</v>
      </c>
      <c r="C449" s="2">
        <v>91</v>
      </c>
      <c r="D449" s="12" t="s">
        <v>35</v>
      </c>
      <c r="E449" s="3">
        <v>45049</v>
      </c>
      <c r="F449" s="15">
        <v>124</v>
      </c>
      <c r="G449" s="18">
        <v>3.9</v>
      </c>
      <c r="H449" s="9">
        <f>IF(MONTH(Data!$E449)&lt;=6, YEAR(Data!$E449), YEAR(Data!$E449)+1)</f>
        <v>2023</v>
      </c>
      <c r="I449" s="9" t="str">
        <f>TEXT(Data!$E449,"DDDD")</f>
        <v>Wednesday</v>
      </c>
      <c r="J449" s="9" t="s">
        <v>14</v>
      </c>
      <c r="K449" s="23">
        <f>ROUND(Data!$G449,0)</f>
        <v>4</v>
      </c>
    </row>
    <row r="450" spans="1:11" ht="14.25" customHeight="1" x14ac:dyDescent="0.3">
      <c r="A450" s="9" t="s">
        <v>484</v>
      </c>
      <c r="B450" s="9" t="s">
        <v>68</v>
      </c>
      <c r="C450" s="2">
        <v>30</v>
      </c>
      <c r="D450" s="12" t="s">
        <v>35</v>
      </c>
      <c r="E450" s="3">
        <v>45050</v>
      </c>
      <c r="F450" s="15">
        <v>205</v>
      </c>
      <c r="G450" s="18">
        <v>4.5</v>
      </c>
      <c r="H450" s="9">
        <f>IF(MONTH(Data!$E450)&lt;=6, YEAR(Data!$E450), YEAR(Data!$E450)+1)</f>
        <v>2023</v>
      </c>
      <c r="I450" s="9" t="str">
        <f>TEXT(Data!$E450,"DDDD")</f>
        <v>Thursday</v>
      </c>
      <c r="J450" s="9" t="s">
        <v>47</v>
      </c>
      <c r="K450" s="23">
        <f>ROUND(Data!$G450,0)</f>
        <v>5</v>
      </c>
    </row>
    <row r="451" spans="1:11" ht="14.25" customHeight="1" x14ac:dyDescent="0.3">
      <c r="A451" s="9" t="s">
        <v>485</v>
      </c>
      <c r="B451" s="9" t="s">
        <v>88</v>
      </c>
      <c r="C451" s="2">
        <v>111</v>
      </c>
      <c r="D451" s="12" t="s">
        <v>24</v>
      </c>
      <c r="E451" s="3">
        <v>45050</v>
      </c>
      <c r="F451" s="15">
        <v>90</v>
      </c>
      <c r="G451" s="18">
        <v>2.8</v>
      </c>
      <c r="H451" s="9">
        <f>IF(MONTH(Data!$E451)&lt;=6, YEAR(Data!$E451), YEAR(Data!$E451)+1)</f>
        <v>2023</v>
      </c>
      <c r="I451" s="9" t="str">
        <f>TEXT(Data!$E451,"DDDD")</f>
        <v>Thursday</v>
      </c>
      <c r="J451" s="9" t="s">
        <v>14</v>
      </c>
      <c r="K451" s="23">
        <f>ROUND(Data!$G451,0)</f>
        <v>3</v>
      </c>
    </row>
    <row r="452" spans="1:11" ht="14.25" customHeight="1" x14ac:dyDescent="0.3">
      <c r="A452" s="9" t="s">
        <v>486</v>
      </c>
      <c r="B452" s="9" t="s">
        <v>46</v>
      </c>
      <c r="C452" s="2">
        <v>81</v>
      </c>
      <c r="D452" s="12" t="s">
        <v>19</v>
      </c>
      <c r="E452" s="3">
        <v>45050</v>
      </c>
      <c r="F452" s="15">
        <v>92</v>
      </c>
      <c r="G452" s="18">
        <v>4.9000000000000004</v>
      </c>
      <c r="H452" s="9">
        <f>IF(MONTH(Data!$E452)&lt;=6, YEAR(Data!$E452), YEAR(Data!$E452)+1)</f>
        <v>2023</v>
      </c>
      <c r="I452" s="9" t="str">
        <f>TEXT(Data!$E452,"DDDD")</f>
        <v>Thursday</v>
      </c>
      <c r="J452" s="9" t="s">
        <v>14</v>
      </c>
      <c r="K452" s="23">
        <f>ROUND(Data!$G452,0)</f>
        <v>5</v>
      </c>
    </row>
    <row r="453" spans="1:11" ht="14.25" customHeight="1" x14ac:dyDescent="0.3">
      <c r="A453" s="9" t="s">
        <v>487</v>
      </c>
      <c r="B453" s="9" t="s">
        <v>40</v>
      </c>
      <c r="C453" s="2">
        <v>40</v>
      </c>
      <c r="D453" s="12" t="s">
        <v>31</v>
      </c>
      <c r="E453" s="3">
        <v>45052</v>
      </c>
      <c r="F453" s="15">
        <v>108</v>
      </c>
      <c r="G453" s="18">
        <v>4.2</v>
      </c>
      <c r="H453" s="9">
        <f>IF(MONTH(Data!$E453)&lt;=6, YEAR(Data!$E453), YEAR(Data!$E453)+1)</f>
        <v>2023</v>
      </c>
      <c r="I453" s="9" t="str">
        <f>TEXT(Data!$E453,"DDDD")</f>
        <v>Saturday</v>
      </c>
      <c r="J453" s="9" t="s">
        <v>27</v>
      </c>
      <c r="K453" s="23">
        <f>ROUND(Data!$G453,0)</f>
        <v>4</v>
      </c>
    </row>
    <row r="454" spans="1:11" ht="14.25" customHeight="1" x14ac:dyDescent="0.3">
      <c r="A454" s="9" t="s">
        <v>488</v>
      </c>
      <c r="B454" s="9" t="s">
        <v>88</v>
      </c>
      <c r="C454" s="2">
        <v>143</v>
      </c>
      <c r="D454" s="12" t="s">
        <v>31</v>
      </c>
      <c r="E454" s="3">
        <v>45052</v>
      </c>
      <c r="F454" s="15">
        <v>54</v>
      </c>
      <c r="G454" s="18">
        <v>4.4000000000000004</v>
      </c>
      <c r="H454" s="9">
        <f>IF(MONTH(Data!$E454)&lt;=6, YEAR(Data!$E454), YEAR(Data!$E454)+1)</f>
        <v>2023</v>
      </c>
      <c r="I454" s="9" t="str">
        <f>TEXT(Data!$E454,"DDDD")</f>
        <v>Saturday</v>
      </c>
      <c r="J454" s="9" t="s">
        <v>25</v>
      </c>
      <c r="K454" s="23">
        <f>ROUND(Data!$G454,0)</f>
        <v>4</v>
      </c>
    </row>
    <row r="455" spans="1:11" ht="14.25" customHeight="1" x14ac:dyDescent="0.3">
      <c r="A455" s="9" t="s">
        <v>489</v>
      </c>
      <c r="B455" s="9" t="s">
        <v>40</v>
      </c>
      <c r="C455" s="2">
        <v>70</v>
      </c>
      <c r="D455" s="12" t="s">
        <v>31</v>
      </c>
      <c r="E455" s="3">
        <v>45053</v>
      </c>
      <c r="F455" s="15">
        <v>44</v>
      </c>
      <c r="G455" s="18">
        <v>3.5</v>
      </c>
      <c r="H455" s="9">
        <f>IF(MONTH(Data!$E455)&lt;=6, YEAR(Data!$E455), YEAR(Data!$E455)+1)</f>
        <v>2023</v>
      </c>
      <c r="I455" s="9" t="str">
        <f>TEXT(Data!$E455,"DDDD")</f>
        <v>Sunday</v>
      </c>
      <c r="J455" s="9" t="s">
        <v>14</v>
      </c>
      <c r="K455" s="23">
        <f>ROUND(Data!$G455,0)</f>
        <v>4</v>
      </c>
    </row>
    <row r="456" spans="1:11" ht="14.25" customHeight="1" x14ac:dyDescent="0.3">
      <c r="A456" s="9" t="s">
        <v>490</v>
      </c>
      <c r="B456" s="9" t="s">
        <v>55</v>
      </c>
      <c r="C456" s="2">
        <v>137</v>
      </c>
      <c r="D456" s="12" t="s">
        <v>31</v>
      </c>
      <c r="E456" s="3">
        <v>45053</v>
      </c>
      <c r="F456" s="15">
        <v>44</v>
      </c>
      <c r="G456" s="18">
        <v>4.7</v>
      </c>
      <c r="H456" s="9">
        <f>IF(MONTH(Data!$E456)&lt;=6, YEAR(Data!$E456), YEAR(Data!$E456)+1)</f>
        <v>2023</v>
      </c>
      <c r="I456" s="9" t="str">
        <f>TEXT(Data!$E456,"DDDD")</f>
        <v>Sunday</v>
      </c>
      <c r="J456" s="9" t="s">
        <v>25</v>
      </c>
      <c r="K456" s="23">
        <f>ROUND(Data!$G456,0)</f>
        <v>5</v>
      </c>
    </row>
    <row r="457" spans="1:11" ht="14.25" customHeight="1" x14ac:dyDescent="0.3">
      <c r="A457" s="9" t="s">
        <v>491</v>
      </c>
      <c r="B457" s="9" t="s">
        <v>12</v>
      </c>
      <c r="C457" s="2">
        <v>52</v>
      </c>
      <c r="D457" s="12" t="s">
        <v>19</v>
      </c>
      <c r="E457" s="3">
        <v>45054</v>
      </c>
      <c r="F457" s="15">
        <v>37</v>
      </c>
      <c r="G457" s="18">
        <v>4.9000000000000004</v>
      </c>
      <c r="H457" s="9">
        <f>IF(MONTH(Data!$E457)&lt;=6, YEAR(Data!$E457), YEAR(Data!$E457)+1)</f>
        <v>2023</v>
      </c>
      <c r="I457" s="9" t="str">
        <f>TEXT(Data!$E457,"DDDD")</f>
        <v>Monday</v>
      </c>
      <c r="J457" s="9" t="s">
        <v>27</v>
      </c>
      <c r="K457" s="23">
        <f>ROUND(Data!$G457,0)</f>
        <v>5</v>
      </c>
    </row>
    <row r="458" spans="1:11" ht="14.25" customHeight="1" x14ac:dyDescent="0.3">
      <c r="A458" s="9" t="s">
        <v>492</v>
      </c>
      <c r="B458" s="9" t="s">
        <v>16</v>
      </c>
      <c r="C458" s="2">
        <v>31</v>
      </c>
      <c r="D458" s="12" t="s">
        <v>24</v>
      </c>
      <c r="E458" s="3">
        <v>45054</v>
      </c>
      <c r="F458" s="15">
        <v>180</v>
      </c>
      <c r="G458" s="18">
        <v>4.5</v>
      </c>
      <c r="H458" s="9">
        <f>IF(MONTH(Data!$E458)&lt;=6, YEAR(Data!$E458), YEAR(Data!$E458)+1)</f>
        <v>2023</v>
      </c>
      <c r="I458" s="9" t="str">
        <f>TEXT(Data!$E458,"DDDD")</f>
        <v>Monday</v>
      </c>
      <c r="J458" s="9" t="s">
        <v>27</v>
      </c>
      <c r="K458" s="23">
        <f>ROUND(Data!$G458,0)</f>
        <v>5</v>
      </c>
    </row>
    <row r="459" spans="1:11" ht="14.25" customHeight="1" x14ac:dyDescent="0.3">
      <c r="A459" s="9" t="s">
        <v>493</v>
      </c>
      <c r="B459" s="9" t="s">
        <v>12</v>
      </c>
      <c r="C459" s="2">
        <v>114</v>
      </c>
      <c r="D459" s="12" t="s">
        <v>35</v>
      </c>
      <c r="E459" s="3">
        <v>45054</v>
      </c>
      <c r="F459" s="15">
        <v>105</v>
      </c>
      <c r="G459" s="18">
        <v>4.9000000000000004</v>
      </c>
      <c r="H459" s="9">
        <f>IF(MONTH(Data!$E459)&lt;=6, YEAR(Data!$E459), YEAR(Data!$E459)+1)</f>
        <v>2023</v>
      </c>
      <c r="I459" s="9" t="str">
        <f>TEXT(Data!$E459,"DDDD")</f>
        <v>Monday</v>
      </c>
      <c r="J459" s="9" t="s">
        <v>14</v>
      </c>
      <c r="K459" s="23">
        <f>ROUND(Data!$G459,0)</f>
        <v>5</v>
      </c>
    </row>
    <row r="460" spans="1:11" ht="14.25" customHeight="1" x14ac:dyDescent="0.3">
      <c r="A460" s="9" t="s">
        <v>494</v>
      </c>
      <c r="B460" s="9" t="s">
        <v>55</v>
      </c>
      <c r="C460" s="2">
        <v>73</v>
      </c>
      <c r="D460" s="12" t="s">
        <v>13</v>
      </c>
      <c r="E460" s="3">
        <v>45054</v>
      </c>
      <c r="F460" s="15">
        <v>87</v>
      </c>
      <c r="G460" s="18">
        <v>3.6</v>
      </c>
      <c r="H460" s="9">
        <f>IF(MONTH(Data!$E460)&lt;=6, YEAR(Data!$E460), YEAR(Data!$E460)+1)</f>
        <v>2023</v>
      </c>
      <c r="I460" s="9" t="str">
        <f>TEXT(Data!$E460,"DDDD")</f>
        <v>Monday</v>
      </c>
      <c r="J460" s="9" t="s">
        <v>14</v>
      </c>
      <c r="K460" s="23">
        <f>ROUND(Data!$G460,0)</f>
        <v>4</v>
      </c>
    </row>
    <row r="461" spans="1:11" ht="14.25" customHeight="1" x14ac:dyDescent="0.3">
      <c r="A461" s="9" t="s">
        <v>495</v>
      </c>
      <c r="B461" s="9" t="s">
        <v>46</v>
      </c>
      <c r="C461" s="2">
        <v>25</v>
      </c>
      <c r="D461" s="12" t="s">
        <v>24</v>
      </c>
      <c r="E461" s="3">
        <v>45054</v>
      </c>
      <c r="F461" s="15">
        <v>52</v>
      </c>
      <c r="G461" s="18">
        <v>3.8</v>
      </c>
      <c r="H461" s="9">
        <f>IF(MONTH(Data!$E461)&lt;=6, YEAR(Data!$E461), YEAR(Data!$E461)+1)</f>
        <v>2023</v>
      </c>
      <c r="I461" s="9" t="str">
        <f>TEXT(Data!$E461,"DDDD")</f>
        <v>Monday</v>
      </c>
      <c r="J461" s="9" t="s">
        <v>47</v>
      </c>
      <c r="K461" s="23">
        <f>ROUND(Data!$G461,0)</f>
        <v>4</v>
      </c>
    </row>
    <row r="462" spans="1:11" ht="14.25" customHeight="1" x14ac:dyDescent="0.3">
      <c r="A462" s="9" t="s">
        <v>496</v>
      </c>
      <c r="B462" s="9" t="s">
        <v>23</v>
      </c>
      <c r="C462" s="2">
        <v>44</v>
      </c>
      <c r="D462" s="12" t="s">
        <v>35</v>
      </c>
      <c r="E462" s="3">
        <v>45054</v>
      </c>
      <c r="F462" s="15">
        <v>63</v>
      </c>
      <c r="G462" s="18">
        <v>3.5</v>
      </c>
      <c r="H462" s="9">
        <f>IF(MONTH(Data!$E462)&lt;=6, YEAR(Data!$E462), YEAR(Data!$E462)+1)</f>
        <v>2023</v>
      </c>
      <c r="I462" s="9" t="str">
        <f>TEXT(Data!$E462,"DDDD")</f>
        <v>Monday</v>
      </c>
      <c r="J462" s="9" t="s">
        <v>27</v>
      </c>
      <c r="K462" s="23">
        <f>ROUND(Data!$G462,0)</f>
        <v>4</v>
      </c>
    </row>
    <row r="463" spans="1:11" ht="14.25" customHeight="1" x14ac:dyDescent="0.3">
      <c r="A463" s="9" t="s">
        <v>497</v>
      </c>
      <c r="B463" s="9" t="s">
        <v>50</v>
      </c>
      <c r="C463" s="2">
        <v>34</v>
      </c>
      <c r="D463" s="12" t="s">
        <v>19</v>
      </c>
      <c r="E463" s="3">
        <v>45055</v>
      </c>
      <c r="F463" s="15">
        <v>195</v>
      </c>
      <c r="G463" s="18">
        <v>4.8</v>
      </c>
      <c r="H463" s="9">
        <f>IF(MONTH(Data!$E463)&lt;=6, YEAR(Data!$E463), YEAR(Data!$E463)+1)</f>
        <v>2023</v>
      </c>
      <c r="I463" s="9" t="str">
        <f>TEXT(Data!$E463,"DDDD")</f>
        <v>Tuesday</v>
      </c>
      <c r="J463" s="9" t="s">
        <v>27</v>
      </c>
      <c r="K463" s="23">
        <f>ROUND(Data!$G463,0)</f>
        <v>5</v>
      </c>
    </row>
    <row r="464" spans="1:11" ht="14.25" customHeight="1" x14ac:dyDescent="0.3">
      <c r="A464" s="9" t="s">
        <v>498</v>
      </c>
      <c r="B464" s="9" t="s">
        <v>88</v>
      </c>
      <c r="C464" s="2">
        <v>89</v>
      </c>
      <c r="D464" s="12" t="s">
        <v>31</v>
      </c>
      <c r="E464" s="3">
        <v>45056</v>
      </c>
      <c r="F464" s="15">
        <v>176</v>
      </c>
      <c r="G464" s="18">
        <v>4.5</v>
      </c>
      <c r="H464" s="9">
        <f>IF(MONTH(Data!$E464)&lt;=6, YEAR(Data!$E464), YEAR(Data!$E464)+1)</f>
        <v>2023</v>
      </c>
      <c r="I464" s="9" t="str">
        <f>TEXT(Data!$E464,"DDDD")</f>
        <v>Wednesday</v>
      </c>
      <c r="J464" s="9" t="s">
        <v>14</v>
      </c>
      <c r="K464" s="23">
        <f>ROUND(Data!$G464,0)</f>
        <v>5</v>
      </c>
    </row>
    <row r="465" spans="1:11" ht="14.25" customHeight="1" x14ac:dyDescent="0.3">
      <c r="A465" s="9" t="s">
        <v>499</v>
      </c>
      <c r="B465" s="9" t="s">
        <v>34</v>
      </c>
      <c r="C465" s="2">
        <v>54</v>
      </c>
      <c r="D465" s="12" t="s">
        <v>24</v>
      </c>
      <c r="E465" s="3">
        <v>45057</v>
      </c>
      <c r="F465" s="15">
        <v>31</v>
      </c>
      <c r="G465" s="18">
        <v>3.3</v>
      </c>
      <c r="H465" s="9">
        <f>IF(MONTH(Data!$E465)&lt;=6, YEAR(Data!$E465), YEAR(Data!$E465)+1)</f>
        <v>2023</v>
      </c>
      <c r="I465" s="9" t="str">
        <f>TEXT(Data!$E465,"DDDD")</f>
        <v>Thursday</v>
      </c>
      <c r="J465" s="9" t="s">
        <v>27</v>
      </c>
      <c r="K465" s="23">
        <f>ROUND(Data!$G465,0)</f>
        <v>3</v>
      </c>
    </row>
    <row r="466" spans="1:11" ht="14.25" customHeight="1" x14ac:dyDescent="0.3">
      <c r="A466" s="9" t="s">
        <v>500</v>
      </c>
      <c r="B466" s="9" t="s">
        <v>18</v>
      </c>
      <c r="C466" s="2">
        <v>25</v>
      </c>
      <c r="D466" s="12" t="s">
        <v>24</v>
      </c>
      <c r="E466" s="3">
        <v>45058</v>
      </c>
      <c r="F466" s="15">
        <v>27</v>
      </c>
      <c r="G466" s="18">
        <v>3.2</v>
      </c>
      <c r="H466" s="9">
        <f>IF(MONTH(Data!$E466)&lt;=6, YEAR(Data!$E466), YEAR(Data!$E466)+1)</f>
        <v>2023</v>
      </c>
      <c r="I466" s="9" t="str">
        <f>TEXT(Data!$E466,"DDDD")</f>
        <v>Friday</v>
      </c>
      <c r="J466" s="9" t="s">
        <v>47</v>
      </c>
      <c r="K466" s="23">
        <f>ROUND(Data!$G466,0)</f>
        <v>3</v>
      </c>
    </row>
    <row r="467" spans="1:11" ht="14.25" customHeight="1" x14ac:dyDescent="0.3">
      <c r="A467" s="9" t="s">
        <v>501</v>
      </c>
      <c r="B467" s="9" t="s">
        <v>38</v>
      </c>
      <c r="C467" s="2">
        <v>91</v>
      </c>
      <c r="D467" s="12" t="s">
        <v>31</v>
      </c>
      <c r="E467" s="3">
        <v>45058</v>
      </c>
      <c r="F467" s="15">
        <v>76</v>
      </c>
      <c r="G467" s="18">
        <v>4.9000000000000004</v>
      </c>
      <c r="H467" s="9">
        <f>IF(MONTH(Data!$E467)&lt;=6, YEAR(Data!$E467), YEAR(Data!$E467)+1)</f>
        <v>2023</v>
      </c>
      <c r="I467" s="9" t="str">
        <f>TEXT(Data!$E467,"DDDD")</f>
        <v>Friday</v>
      </c>
      <c r="J467" s="9" t="s">
        <v>14</v>
      </c>
      <c r="K467" s="23">
        <f>ROUND(Data!$G467,0)</f>
        <v>5</v>
      </c>
    </row>
    <row r="468" spans="1:11" ht="14.25" customHeight="1" x14ac:dyDescent="0.3">
      <c r="A468" s="9" t="s">
        <v>502</v>
      </c>
      <c r="B468" s="9" t="s">
        <v>23</v>
      </c>
      <c r="C468" s="2">
        <v>144</v>
      </c>
      <c r="D468" s="12" t="s">
        <v>35</v>
      </c>
      <c r="E468" s="3">
        <v>45058</v>
      </c>
      <c r="F468" s="15">
        <v>62</v>
      </c>
      <c r="G468" s="18">
        <v>4.8</v>
      </c>
      <c r="H468" s="9">
        <f>IF(MONTH(Data!$E468)&lt;=6, YEAR(Data!$E468), YEAR(Data!$E468)+1)</f>
        <v>2023</v>
      </c>
      <c r="I468" s="9" t="str">
        <f>TEXT(Data!$E468,"DDDD")</f>
        <v>Friday</v>
      </c>
      <c r="J468" s="9" t="s">
        <v>25</v>
      </c>
      <c r="K468" s="23">
        <f>ROUND(Data!$G468,0)</f>
        <v>5</v>
      </c>
    </row>
    <row r="469" spans="1:11" ht="14.25" customHeight="1" x14ac:dyDescent="0.3">
      <c r="A469" s="9" t="s">
        <v>503</v>
      </c>
      <c r="B469" s="9" t="s">
        <v>38</v>
      </c>
      <c r="C469" s="2">
        <v>81</v>
      </c>
      <c r="D469" s="12" t="s">
        <v>19</v>
      </c>
      <c r="E469" s="3">
        <v>45060</v>
      </c>
      <c r="F469" s="15">
        <v>100</v>
      </c>
      <c r="G469" s="18">
        <v>1.3</v>
      </c>
      <c r="H469" s="9">
        <f>IF(MONTH(Data!$E469)&lt;=6, YEAR(Data!$E469), YEAR(Data!$E469)+1)</f>
        <v>2023</v>
      </c>
      <c r="I469" s="9" t="str">
        <f>TEXT(Data!$E469,"DDDD")</f>
        <v>Sunday</v>
      </c>
      <c r="J469" s="9" t="s">
        <v>14</v>
      </c>
      <c r="K469" s="23">
        <f>ROUND(Data!$G469,0)</f>
        <v>1</v>
      </c>
    </row>
    <row r="470" spans="1:11" ht="14.25" customHeight="1" x14ac:dyDescent="0.3">
      <c r="A470" s="9" t="s">
        <v>504</v>
      </c>
      <c r="B470" s="9" t="s">
        <v>68</v>
      </c>
      <c r="C470" s="2">
        <v>92</v>
      </c>
      <c r="D470" s="12" t="s">
        <v>24</v>
      </c>
      <c r="E470" s="3">
        <v>45060</v>
      </c>
      <c r="F470" s="15">
        <v>44</v>
      </c>
      <c r="G470" s="18">
        <v>3.1</v>
      </c>
      <c r="H470" s="9">
        <f>IF(MONTH(Data!$E470)&lt;=6, YEAR(Data!$E470), YEAR(Data!$E470)+1)</f>
        <v>2023</v>
      </c>
      <c r="I470" s="9" t="str">
        <f>TEXT(Data!$E470,"DDDD")</f>
        <v>Sunday</v>
      </c>
      <c r="J470" s="9" t="s">
        <v>14</v>
      </c>
      <c r="K470" s="23">
        <f>ROUND(Data!$G470,0)</f>
        <v>3</v>
      </c>
    </row>
    <row r="471" spans="1:11" ht="14.25" customHeight="1" x14ac:dyDescent="0.3">
      <c r="A471" s="9" t="s">
        <v>505</v>
      </c>
      <c r="B471" s="9" t="s">
        <v>18</v>
      </c>
      <c r="C471" s="2">
        <v>115</v>
      </c>
      <c r="D471" s="12" t="s">
        <v>31</v>
      </c>
      <c r="E471" s="3">
        <v>45060</v>
      </c>
      <c r="F471" s="15">
        <v>168</v>
      </c>
      <c r="G471" s="18">
        <v>3.4</v>
      </c>
      <c r="H471" s="9">
        <f>IF(MONTH(Data!$E471)&lt;=6, YEAR(Data!$E471), YEAR(Data!$E471)+1)</f>
        <v>2023</v>
      </c>
      <c r="I471" s="9" t="str">
        <f>TEXT(Data!$E471,"DDDD")</f>
        <v>Sunday</v>
      </c>
      <c r="J471" s="9" t="s">
        <v>14</v>
      </c>
      <c r="K471" s="23">
        <f>ROUND(Data!$G471,0)</f>
        <v>3</v>
      </c>
    </row>
    <row r="472" spans="1:11" ht="14.25" customHeight="1" x14ac:dyDescent="0.3">
      <c r="A472" s="9" t="s">
        <v>506</v>
      </c>
      <c r="B472" s="9" t="s">
        <v>29</v>
      </c>
      <c r="C472" s="2">
        <v>56</v>
      </c>
      <c r="D472" s="12" t="s">
        <v>31</v>
      </c>
      <c r="E472" s="3">
        <v>45061</v>
      </c>
      <c r="F472" s="15">
        <v>200</v>
      </c>
      <c r="G472" s="18">
        <v>4.5999999999999996</v>
      </c>
      <c r="H472" s="9">
        <f>IF(MONTH(Data!$E472)&lt;=6, YEAR(Data!$E472), YEAR(Data!$E472)+1)</f>
        <v>2023</v>
      </c>
      <c r="I472" s="9" t="str">
        <f>TEXT(Data!$E472,"DDDD")</f>
        <v>Monday</v>
      </c>
      <c r="J472" s="9" t="s">
        <v>27</v>
      </c>
      <c r="K472" s="23">
        <f>ROUND(Data!$G472,0)</f>
        <v>5</v>
      </c>
    </row>
    <row r="473" spans="1:11" ht="14.25" customHeight="1" x14ac:dyDescent="0.3">
      <c r="A473" s="9" t="s">
        <v>507</v>
      </c>
      <c r="B473" s="9" t="s">
        <v>16</v>
      </c>
      <c r="C473" s="2">
        <v>154</v>
      </c>
      <c r="D473" s="12" t="s">
        <v>24</v>
      </c>
      <c r="E473" s="3">
        <v>45061</v>
      </c>
      <c r="F473" s="15">
        <v>84</v>
      </c>
      <c r="G473" s="18">
        <v>4.3</v>
      </c>
      <c r="H473" s="9">
        <f>IF(MONTH(Data!$E473)&lt;=6, YEAR(Data!$E473), YEAR(Data!$E473)+1)</f>
        <v>2023</v>
      </c>
      <c r="I473" s="9" t="str">
        <f>TEXT(Data!$E473,"DDDD")</f>
        <v>Monday</v>
      </c>
      <c r="J473" s="9" t="s">
        <v>25</v>
      </c>
      <c r="K473" s="23">
        <f>ROUND(Data!$G473,0)</f>
        <v>4</v>
      </c>
    </row>
    <row r="474" spans="1:11" ht="14.25" customHeight="1" x14ac:dyDescent="0.3">
      <c r="A474" s="9" t="s">
        <v>508</v>
      </c>
      <c r="B474" s="9" t="s">
        <v>88</v>
      </c>
      <c r="C474" s="2">
        <v>51</v>
      </c>
      <c r="D474" s="12" t="s">
        <v>31</v>
      </c>
      <c r="E474" s="3">
        <v>45062</v>
      </c>
      <c r="F474" s="15">
        <v>117</v>
      </c>
      <c r="G474" s="18">
        <v>2.7</v>
      </c>
      <c r="H474" s="9">
        <f>IF(MONTH(Data!$E474)&lt;=6, YEAR(Data!$E474), YEAR(Data!$E474)+1)</f>
        <v>2023</v>
      </c>
      <c r="I474" s="9" t="str">
        <f>TEXT(Data!$E474,"DDDD")</f>
        <v>Tuesday</v>
      </c>
      <c r="J474" s="9" t="s">
        <v>27</v>
      </c>
      <c r="K474" s="23">
        <f>ROUND(Data!$G474,0)</f>
        <v>3</v>
      </c>
    </row>
    <row r="475" spans="1:11" ht="14.25" customHeight="1" x14ac:dyDescent="0.3">
      <c r="A475" s="9" t="s">
        <v>509</v>
      </c>
      <c r="B475" s="9" t="s">
        <v>50</v>
      </c>
      <c r="C475" s="2">
        <v>21</v>
      </c>
      <c r="D475" s="12" t="s">
        <v>19</v>
      </c>
      <c r="E475" s="3">
        <v>45062</v>
      </c>
      <c r="F475" s="15">
        <v>63</v>
      </c>
      <c r="G475" s="18">
        <v>4.2</v>
      </c>
      <c r="H475" s="9">
        <f>IF(MONTH(Data!$E475)&lt;=6, YEAR(Data!$E475), YEAR(Data!$E475)+1)</f>
        <v>2023</v>
      </c>
      <c r="I475" s="9" t="str">
        <f>TEXT(Data!$E475,"DDDD")</f>
        <v>Tuesday</v>
      </c>
      <c r="J475" s="9" t="s">
        <v>47</v>
      </c>
      <c r="K475" s="23">
        <f>ROUND(Data!$G475,0)</f>
        <v>4</v>
      </c>
    </row>
    <row r="476" spans="1:11" ht="14.25" customHeight="1" x14ac:dyDescent="0.3">
      <c r="A476" s="9" t="s">
        <v>510</v>
      </c>
      <c r="B476" s="9" t="s">
        <v>18</v>
      </c>
      <c r="C476" s="2">
        <v>80</v>
      </c>
      <c r="D476" s="12" t="s">
        <v>31</v>
      </c>
      <c r="E476" s="3">
        <v>45063</v>
      </c>
      <c r="F476" s="15">
        <v>145</v>
      </c>
      <c r="G476" s="18">
        <v>4.9000000000000004</v>
      </c>
      <c r="H476" s="9">
        <f>IF(MONTH(Data!$E476)&lt;=6, YEAR(Data!$E476), YEAR(Data!$E476)+1)</f>
        <v>2023</v>
      </c>
      <c r="I476" s="9" t="str">
        <f>TEXT(Data!$E476,"DDDD")</f>
        <v>Wednesday</v>
      </c>
      <c r="J476" s="9" t="s">
        <v>14</v>
      </c>
      <c r="K476" s="23">
        <f>ROUND(Data!$G476,0)</f>
        <v>5</v>
      </c>
    </row>
    <row r="477" spans="1:11" ht="14.25" customHeight="1" x14ac:dyDescent="0.3">
      <c r="A477" s="9" t="s">
        <v>511</v>
      </c>
      <c r="B477" s="9" t="s">
        <v>88</v>
      </c>
      <c r="C477" s="2">
        <v>139</v>
      </c>
      <c r="D477" s="12" t="s">
        <v>24</v>
      </c>
      <c r="E477" s="3">
        <v>45063</v>
      </c>
      <c r="F477" s="15">
        <v>220</v>
      </c>
      <c r="G477" s="18">
        <v>3.2</v>
      </c>
      <c r="H477" s="9">
        <f>IF(MONTH(Data!$E477)&lt;=6, YEAR(Data!$E477), YEAR(Data!$E477)+1)</f>
        <v>2023</v>
      </c>
      <c r="I477" s="9" t="str">
        <f>TEXT(Data!$E477,"DDDD")</f>
        <v>Wednesday</v>
      </c>
      <c r="J477" s="9" t="s">
        <v>25</v>
      </c>
      <c r="K477" s="23">
        <f>ROUND(Data!$G477,0)</f>
        <v>3</v>
      </c>
    </row>
    <row r="478" spans="1:11" ht="14.25" customHeight="1" x14ac:dyDescent="0.3">
      <c r="A478" s="9" t="s">
        <v>512</v>
      </c>
      <c r="B478" s="9" t="s">
        <v>40</v>
      </c>
      <c r="C478" s="2">
        <v>50</v>
      </c>
      <c r="D478" s="12" t="s">
        <v>19</v>
      </c>
      <c r="E478" s="3">
        <v>45063</v>
      </c>
      <c r="F478" s="15">
        <v>26</v>
      </c>
      <c r="G478" s="18">
        <v>4.7</v>
      </c>
      <c r="H478" s="9">
        <f>IF(MONTH(Data!$E478)&lt;=6, YEAR(Data!$E478), YEAR(Data!$E478)+1)</f>
        <v>2023</v>
      </c>
      <c r="I478" s="9" t="str">
        <f>TEXT(Data!$E478,"DDDD")</f>
        <v>Wednesday</v>
      </c>
      <c r="J478" s="9" t="s">
        <v>27</v>
      </c>
      <c r="K478" s="23">
        <f>ROUND(Data!$G478,0)</f>
        <v>5</v>
      </c>
    </row>
    <row r="479" spans="1:11" ht="14.25" customHeight="1" x14ac:dyDescent="0.3">
      <c r="A479" s="9" t="s">
        <v>513</v>
      </c>
      <c r="B479" s="9" t="s">
        <v>18</v>
      </c>
      <c r="C479" s="2">
        <v>88</v>
      </c>
      <c r="D479" s="12" t="s">
        <v>31</v>
      </c>
      <c r="E479" s="3">
        <v>45063</v>
      </c>
      <c r="F479" s="15">
        <v>78</v>
      </c>
      <c r="G479" s="18">
        <v>4.3</v>
      </c>
      <c r="H479" s="9">
        <f>IF(MONTH(Data!$E479)&lt;=6, YEAR(Data!$E479), YEAR(Data!$E479)+1)</f>
        <v>2023</v>
      </c>
      <c r="I479" s="9" t="str">
        <f>TEXT(Data!$E479,"DDDD")</f>
        <v>Wednesday</v>
      </c>
      <c r="J479" s="9" t="s">
        <v>14</v>
      </c>
      <c r="K479" s="23">
        <f>ROUND(Data!$G479,0)</f>
        <v>4</v>
      </c>
    </row>
    <row r="480" spans="1:11" ht="14.25" customHeight="1" x14ac:dyDescent="0.3">
      <c r="A480" s="9" t="s">
        <v>514</v>
      </c>
      <c r="B480" s="9" t="s">
        <v>34</v>
      </c>
      <c r="C480" s="2">
        <v>19</v>
      </c>
      <c r="D480" s="12" t="s">
        <v>35</v>
      </c>
      <c r="E480" s="3">
        <v>45064</v>
      </c>
      <c r="F480" s="15">
        <v>132</v>
      </c>
      <c r="G480" s="18">
        <v>4.3</v>
      </c>
      <c r="H480" s="9">
        <f>IF(MONTH(Data!$E480)&lt;=6, YEAR(Data!$E480), YEAR(Data!$E480)+1)</f>
        <v>2023</v>
      </c>
      <c r="I480" s="9" t="str">
        <f>TEXT(Data!$E480,"DDDD")</f>
        <v>Thursday</v>
      </c>
      <c r="J480" s="9" t="s">
        <v>47</v>
      </c>
      <c r="K480" s="23">
        <f>ROUND(Data!$G480,0)</f>
        <v>4</v>
      </c>
    </row>
    <row r="481" spans="1:11" ht="14.25" customHeight="1" x14ac:dyDescent="0.3">
      <c r="A481" s="9" t="s">
        <v>515</v>
      </c>
      <c r="B481" s="9" t="s">
        <v>46</v>
      </c>
      <c r="C481" s="2">
        <v>104</v>
      </c>
      <c r="D481" s="12" t="s">
        <v>35</v>
      </c>
      <c r="E481" s="3">
        <v>45065</v>
      </c>
      <c r="F481" s="15">
        <v>68</v>
      </c>
      <c r="G481" s="18">
        <v>3.7</v>
      </c>
      <c r="H481" s="9">
        <f>IF(MONTH(Data!$E481)&lt;=6, YEAR(Data!$E481), YEAR(Data!$E481)+1)</f>
        <v>2023</v>
      </c>
      <c r="I481" s="9" t="str">
        <f>TEXT(Data!$E481,"DDDD")</f>
        <v>Friday</v>
      </c>
      <c r="J481" s="9" t="s">
        <v>14</v>
      </c>
      <c r="K481" s="23">
        <f>ROUND(Data!$G481,0)</f>
        <v>4</v>
      </c>
    </row>
    <row r="482" spans="1:11" ht="14.25" customHeight="1" x14ac:dyDescent="0.3">
      <c r="A482" s="9" t="s">
        <v>516</v>
      </c>
      <c r="B482" s="9" t="s">
        <v>16</v>
      </c>
      <c r="C482" s="2">
        <v>67</v>
      </c>
      <c r="D482" s="12" t="s">
        <v>24</v>
      </c>
      <c r="E482" s="3">
        <v>45067</v>
      </c>
      <c r="F482" s="15">
        <v>129</v>
      </c>
      <c r="G482" s="18">
        <v>4.7</v>
      </c>
      <c r="H482" s="9">
        <f>IF(MONTH(Data!$E482)&lt;=6, YEAR(Data!$E482), YEAR(Data!$E482)+1)</f>
        <v>2023</v>
      </c>
      <c r="I482" s="9" t="str">
        <f>TEXT(Data!$E482,"DDDD")</f>
        <v>Sunday</v>
      </c>
      <c r="J482" s="9" t="s">
        <v>14</v>
      </c>
      <c r="K482" s="23">
        <f>ROUND(Data!$G482,0)</f>
        <v>5</v>
      </c>
    </row>
    <row r="483" spans="1:11" ht="14.25" customHeight="1" x14ac:dyDescent="0.3">
      <c r="A483" s="9" t="s">
        <v>517</v>
      </c>
      <c r="B483" s="9" t="s">
        <v>58</v>
      </c>
      <c r="C483" s="2">
        <v>107</v>
      </c>
      <c r="D483" s="12" t="s">
        <v>35</v>
      </c>
      <c r="E483" s="3">
        <v>45067</v>
      </c>
      <c r="F483" s="15">
        <v>115</v>
      </c>
      <c r="G483" s="18">
        <v>4.9000000000000004</v>
      </c>
      <c r="H483" s="9">
        <f>IF(MONTH(Data!$E483)&lt;=6, YEAR(Data!$E483), YEAR(Data!$E483)+1)</f>
        <v>2023</v>
      </c>
      <c r="I483" s="9" t="str">
        <f>TEXT(Data!$E483,"DDDD")</f>
        <v>Sunday</v>
      </c>
      <c r="J483" s="9" t="s">
        <v>14</v>
      </c>
      <c r="K483" s="23">
        <f>ROUND(Data!$G483,0)</f>
        <v>5</v>
      </c>
    </row>
    <row r="484" spans="1:11" ht="14.25" customHeight="1" x14ac:dyDescent="0.3">
      <c r="A484" s="9" t="s">
        <v>518</v>
      </c>
      <c r="B484" s="9" t="s">
        <v>58</v>
      </c>
      <c r="C484" s="2">
        <v>93</v>
      </c>
      <c r="D484" s="12" t="s">
        <v>35</v>
      </c>
      <c r="E484" s="3">
        <v>45067</v>
      </c>
      <c r="F484" s="15">
        <v>128</v>
      </c>
      <c r="G484" s="18">
        <v>3.9</v>
      </c>
      <c r="H484" s="9">
        <f>IF(MONTH(Data!$E484)&lt;=6, YEAR(Data!$E484), YEAR(Data!$E484)+1)</f>
        <v>2023</v>
      </c>
      <c r="I484" s="9" t="str">
        <f>TEXT(Data!$E484,"DDDD")</f>
        <v>Sunday</v>
      </c>
      <c r="J484" s="9" t="s">
        <v>14</v>
      </c>
      <c r="K484" s="23">
        <f>ROUND(Data!$G484,0)</f>
        <v>4</v>
      </c>
    </row>
    <row r="485" spans="1:11" ht="14.25" customHeight="1" x14ac:dyDescent="0.3">
      <c r="A485" s="9" t="s">
        <v>519</v>
      </c>
      <c r="B485" s="9" t="s">
        <v>58</v>
      </c>
      <c r="C485" s="2">
        <v>117</v>
      </c>
      <c r="D485" s="12" t="s">
        <v>24</v>
      </c>
      <c r="E485" s="3">
        <v>45067</v>
      </c>
      <c r="F485" s="15">
        <v>90</v>
      </c>
      <c r="G485" s="18">
        <v>4.5</v>
      </c>
      <c r="H485" s="9">
        <f>IF(MONTH(Data!$E485)&lt;=6, YEAR(Data!$E485), YEAR(Data!$E485)+1)</f>
        <v>2023</v>
      </c>
      <c r="I485" s="9" t="str">
        <f>TEXT(Data!$E485,"DDDD")</f>
        <v>Sunday</v>
      </c>
      <c r="J485" s="9" t="s">
        <v>14</v>
      </c>
      <c r="K485" s="23">
        <f>ROUND(Data!$G485,0)</f>
        <v>5</v>
      </c>
    </row>
    <row r="486" spans="1:11" ht="14.25" customHeight="1" x14ac:dyDescent="0.3">
      <c r="A486" s="9" t="s">
        <v>520</v>
      </c>
      <c r="B486" s="9" t="s">
        <v>40</v>
      </c>
      <c r="C486" s="2">
        <v>76</v>
      </c>
      <c r="D486" s="12" t="s">
        <v>31</v>
      </c>
      <c r="E486" s="3">
        <v>45068</v>
      </c>
      <c r="F486" s="15">
        <v>39</v>
      </c>
      <c r="G486" s="18">
        <v>4.5999999999999996</v>
      </c>
      <c r="H486" s="9">
        <f>IF(MONTH(Data!$E486)&lt;=6, YEAR(Data!$E486), YEAR(Data!$E486)+1)</f>
        <v>2023</v>
      </c>
      <c r="I486" s="9" t="str">
        <f>TEXT(Data!$E486,"DDDD")</f>
        <v>Monday</v>
      </c>
      <c r="J486" s="9" t="s">
        <v>14</v>
      </c>
      <c r="K486" s="23">
        <f>ROUND(Data!$G486,0)</f>
        <v>5</v>
      </c>
    </row>
    <row r="487" spans="1:11" ht="14.25" customHeight="1" x14ac:dyDescent="0.3">
      <c r="A487" s="9" t="s">
        <v>521</v>
      </c>
      <c r="B487" s="9" t="s">
        <v>34</v>
      </c>
      <c r="C487" s="2">
        <v>64</v>
      </c>
      <c r="D487" s="12" t="s">
        <v>35</v>
      </c>
      <c r="E487" s="3">
        <v>45068</v>
      </c>
      <c r="F487" s="15">
        <v>132</v>
      </c>
      <c r="G487" s="18">
        <v>3.3</v>
      </c>
      <c r="H487" s="9">
        <f>IF(MONTH(Data!$E487)&lt;=6, YEAR(Data!$E487), YEAR(Data!$E487)+1)</f>
        <v>2023</v>
      </c>
      <c r="I487" s="9" t="str">
        <f>TEXT(Data!$E487,"DDDD")</f>
        <v>Monday</v>
      </c>
      <c r="J487" s="9" t="s">
        <v>14</v>
      </c>
      <c r="K487" s="23">
        <f>ROUND(Data!$G487,0)</f>
        <v>3</v>
      </c>
    </row>
    <row r="488" spans="1:11" ht="14.25" customHeight="1" x14ac:dyDescent="0.3">
      <c r="A488" s="9" t="s">
        <v>522</v>
      </c>
      <c r="B488" s="9" t="s">
        <v>23</v>
      </c>
      <c r="C488" s="2">
        <v>33</v>
      </c>
      <c r="D488" s="12" t="s">
        <v>35</v>
      </c>
      <c r="E488" s="3">
        <v>45068</v>
      </c>
      <c r="F488" s="15">
        <v>170</v>
      </c>
      <c r="G488" s="18">
        <v>3.8</v>
      </c>
      <c r="H488" s="9">
        <f>IF(MONTH(Data!$E488)&lt;=6, YEAR(Data!$E488), YEAR(Data!$E488)+1)</f>
        <v>2023</v>
      </c>
      <c r="I488" s="9" t="str">
        <f>TEXT(Data!$E488,"DDDD")</f>
        <v>Monday</v>
      </c>
      <c r="J488" s="9" t="s">
        <v>27</v>
      </c>
      <c r="K488" s="23">
        <f>ROUND(Data!$G488,0)</f>
        <v>4</v>
      </c>
    </row>
    <row r="489" spans="1:11" ht="14.25" customHeight="1" x14ac:dyDescent="0.3">
      <c r="A489" s="9" t="s">
        <v>523</v>
      </c>
      <c r="B489" s="9" t="s">
        <v>58</v>
      </c>
      <c r="C489" s="2">
        <v>115</v>
      </c>
      <c r="D489" s="12" t="s">
        <v>24</v>
      </c>
      <c r="E489" s="3">
        <v>45068</v>
      </c>
      <c r="F489" s="15">
        <v>42</v>
      </c>
      <c r="G489" s="18">
        <v>4.7</v>
      </c>
      <c r="H489" s="9">
        <f>IF(MONTH(Data!$E489)&lt;=6, YEAR(Data!$E489), YEAR(Data!$E489)+1)</f>
        <v>2023</v>
      </c>
      <c r="I489" s="9" t="str">
        <f>TEXT(Data!$E489,"DDDD")</f>
        <v>Monday</v>
      </c>
      <c r="J489" s="9" t="s">
        <v>14</v>
      </c>
      <c r="K489" s="23">
        <f>ROUND(Data!$G489,0)</f>
        <v>5</v>
      </c>
    </row>
    <row r="490" spans="1:11" ht="14.25" customHeight="1" x14ac:dyDescent="0.3">
      <c r="A490" s="9" t="s">
        <v>524</v>
      </c>
      <c r="B490" s="9" t="s">
        <v>21</v>
      </c>
      <c r="C490" s="2">
        <v>155</v>
      </c>
      <c r="D490" s="12" t="s">
        <v>31</v>
      </c>
      <c r="E490" s="3">
        <v>45069</v>
      </c>
      <c r="F490" s="15">
        <v>37</v>
      </c>
      <c r="G490" s="18">
        <v>4</v>
      </c>
      <c r="H490" s="9">
        <f>IF(MONTH(Data!$E490)&lt;=6, YEAR(Data!$E490), YEAR(Data!$E490)+1)</f>
        <v>2023</v>
      </c>
      <c r="I490" s="9" t="str">
        <f>TEXT(Data!$E490,"DDDD")</f>
        <v>Tuesday</v>
      </c>
      <c r="J490" s="9" t="s">
        <v>25</v>
      </c>
      <c r="K490" s="23">
        <f>ROUND(Data!$G490,0)</f>
        <v>4</v>
      </c>
    </row>
    <row r="491" spans="1:11" ht="14.25" customHeight="1" x14ac:dyDescent="0.3">
      <c r="A491" s="9" t="s">
        <v>525</v>
      </c>
      <c r="B491" s="9" t="s">
        <v>16</v>
      </c>
      <c r="C491" s="2">
        <v>117</v>
      </c>
      <c r="D491" s="12" t="s">
        <v>31</v>
      </c>
      <c r="E491" s="3">
        <v>45069</v>
      </c>
      <c r="F491" s="15">
        <v>88</v>
      </c>
      <c r="G491" s="18">
        <v>4.7</v>
      </c>
      <c r="H491" s="9">
        <f>IF(MONTH(Data!$E491)&lt;=6, YEAR(Data!$E491), YEAR(Data!$E491)+1)</f>
        <v>2023</v>
      </c>
      <c r="I491" s="9" t="str">
        <f>TEXT(Data!$E491,"DDDD")</f>
        <v>Tuesday</v>
      </c>
      <c r="J491" s="9" t="s">
        <v>14</v>
      </c>
      <c r="K491" s="23">
        <f>ROUND(Data!$G491,0)</f>
        <v>5</v>
      </c>
    </row>
    <row r="492" spans="1:11" ht="14.25" customHeight="1" x14ac:dyDescent="0.3">
      <c r="A492" s="9" t="s">
        <v>526</v>
      </c>
      <c r="B492" s="9" t="s">
        <v>88</v>
      </c>
      <c r="C492" s="2">
        <v>63</v>
      </c>
      <c r="D492" s="12" t="s">
        <v>31</v>
      </c>
      <c r="E492" s="3">
        <v>45069</v>
      </c>
      <c r="F492" s="15">
        <v>80</v>
      </c>
      <c r="G492" s="18">
        <v>2.5</v>
      </c>
      <c r="H492" s="9">
        <f>IF(MONTH(Data!$E492)&lt;=6, YEAR(Data!$E492), YEAR(Data!$E492)+1)</f>
        <v>2023</v>
      </c>
      <c r="I492" s="9" t="str">
        <f>TEXT(Data!$E492,"DDDD")</f>
        <v>Tuesday</v>
      </c>
      <c r="J492" s="9" t="s">
        <v>14</v>
      </c>
      <c r="K492" s="23">
        <f>ROUND(Data!$G492,0)</f>
        <v>3</v>
      </c>
    </row>
    <row r="493" spans="1:11" ht="14.25" customHeight="1" x14ac:dyDescent="0.3">
      <c r="A493" s="9" t="s">
        <v>527</v>
      </c>
      <c r="B493" s="9" t="s">
        <v>34</v>
      </c>
      <c r="C493" s="2">
        <v>59</v>
      </c>
      <c r="D493" s="12" t="s">
        <v>13</v>
      </c>
      <c r="E493" s="3">
        <v>45070</v>
      </c>
      <c r="F493" s="15">
        <v>123</v>
      </c>
      <c r="G493" s="18">
        <v>3.6</v>
      </c>
      <c r="H493" s="9">
        <f>IF(MONTH(Data!$E493)&lt;=6, YEAR(Data!$E493), YEAR(Data!$E493)+1)</f>
        <v>2023</v>
      </c>
      <c r="I493" s="9" t="str">
        <f>TEXT(Data!$E493,"DDDD")</f>
        <v>Wednesday</v>
      </c>
      <c r="J493" s="9" t="s">
        <v>27</v>
      </c>
      <c r="K493" s="23">
        <f>ROUND(Data!$G493,0)</f>
        <v>4</v>
      </c>
    </row>
    <row r="494" spans="1:11" ht="14.25" customHeight="1" x14ac:dyDescent="0.3">
      <c r="A494" s="9" t="s">
        <v>528</v>
      </c>
      <c r="B494" s="9" t="s">
        <v>50</v>
      </c>
      <c r="C494" s="2">
        <v>133</v>
      </c>
      <c r="D494" s="12" t="s">
        <v>35</v>
      </c>
      <c r="E494" s="3">
        <v>45070</v>
      </c>
      <c r="F494" s="15">
        <v>31</v>
      </c>
      <c r="G494" s="18">
        <v>3.7</v>
      </c>
      <c r="H494" s="9">
        <f>IF(MONTH(Data!$E494)&lt;=6, YEAR(Data!$E494), YEAR(Data!$E494)+1)</f>
        <v>2023</v>
      </c>
      <c r="I494" s="9" t="str">
        <f>TEXT(Data!$E494,"DDDD")</f>
        <v>Wednesday</v>
      </c>
      <c r="J494" s="9" t="s">
        <v>25</v>
      </c>
      <c r="K494" s="23">
        <f>ROUND(Data!$G494,0)</f>
        <v>4</v>
      </c>
    </row>
    <row r="495" spans="1:11" ht="14.25" customHeight="1" x14ac:dyDescent="0.3">
      <c r="A495" s="9" t="s">
        <v>529</v>
      </c>
      <c r="B495" s="9" t="s">
        <v>68</v>
      </c>
      <c r="C495" s="2">
        <v>101</v>
      </c>
      <c r="D495" s="12" t="s">
        <v>19</v>
      </c>
      <c r="E495" s="3">
        <v>45070</v>
      </c>
      <c r="F495" s="15">
        <v>205</v>
      </c>
      <c r="G495" s="18">
        <v>3.9</v>
      </c>
      <c r="H495" s="9">
        <f>IF(MONTH(Data!$E495)&lt;=6, YEAR(Data!$E495), YEAR(Data!$E495)+1)</f>
        <v>2023</v>
      </c>
      <c r="I495" s="9" t="str">
        <f>TEXT(Data!$E495,"DDDD")</f>
        <v>Wednesday</v>
      </c>
      <c r="J495" s="9" t="s">
        <v>14</v>
      </c>
      <c r="K495" s="23">
        <f>ROUND(Data!$G495,0)</f>
        <v>4</v>
      </c>
    </row>
    <row r="496" spans="1:11" ht="14.25" customHeight="1" x14ac:dyDescent="0.3">
      <c r="A496" s="9" t="s">
        <v>530</v>
      </c>
      <c r="B496" s="9" t="s">
        <v>38</v>
      </c>
      <c r="C496" s="2">
        <v>151</v>
      </c>
      <c r="D496" s="12" t="s">
        <v>31</v>
      </c>
      <c r="E496" s="3">
        <v>45071</v>
      </c>
      <c r="F496" s="15">
        <v>123</v>
      </c>
      <c r="G496" s="18">
        <v>3.7</v>
      </c>
      <c r="H496" s="9">
        <f>IF(MONTH(Data!$E496)&lt;=6, YEAR(Data!$E496), YEAR(Data!$E496)+1)</f>
        <v>2023</v>
      </c>
      <c r="I496" s="9" t="str">
        <f>TEXT(Data!$E496,"DDDD")</f>
        <v>Thursday</v>
      </c>
      <c r="J496" s="9" t="s">
        <v>25</v>
      </c>
      <c r="K496" s="23">
        <f>ROUND(Data!$G496,0)</f>
        <v>4</v>
      </c>
    </row>
    <row r="497" spans="1:11" ht="14.25" customHeight="1" x14ac:dyDescent="0.3">
      <c r="A497" s="9" t="s">
        <v>531</v>
      </c>
      <c r="B497" s="9" t="s">
        <v>23</v>
      </c>
      <c r="C497" s="2">
        <v>146</v>
      </c>
      <c r="D497" s="12" t="s">
        <v>35</v>
      </c>
      <c r="E497" s="3">
        <v>45071</v>
      </c>
      <c r="F497" s="15">
        <v>123</v>
      </c>
      <c r="G497" s="18">
        <v>4.3</v>
      </c>
      <c r="H497" s="9">
        <f>IF(MONTH(Data!$E497)&lt;=6, YEAR(Data!$E497), YEAR(Data!$E497)+1)</f>
        <v>2023</v>
      </c>
      <c r="I497" s="9" t="str">
        <f>TEXT(Data!$E497,"DDDD")</f>
        <v>Thursday</v>
      </c>
      <c r="J497" s="9" t="s">
        <v>25</v>
      </c>
      <c r="K497" s="23">
        <f>ROUND(Data!$G497,0)</f>
        <v>4</v>
      </c>
    </row>
    <row r="498" spans="1:11" ht="14.25" customHeight="1" x14ac:dyDescent="0.3">
      <c r="A498" s="9" t="s">
        <v>532</v>
      </c>
      <c r="B498" s="9" t="s">
        <v>88</v>
      </c>
      <c r="C498" s="2">
        <v>148</v>
      </c>
      <c r="D498" s="12" t="s">
        <v>35</v>
      </c>
      <c r="E498" s="3">
        <v>45071</v>
      </c>
      <c r="F498" s="15">
        <v>36</v>
      </c>
      <c r="G498" s="18">
        <v>2.9</v>
      </c>
      <c r="H498" s="9">
        <f>IF(MONTH(Data!$E498)&lt;=6, YEAR(Data!$E498), YEAR(Data!$E498)+1)</f>
        <v>2023</v>
      </c>
      <c r="I498" s="9" t="str">
        <f>TEXT(Data!$E498,"DDDD")</f>
        <v>Thursday</v>
      </c>
      <c r="J498" s="9" t="s">
        <v>25</v>
      </c>
      <c r="K498" s="23">
        <f>ROUND(Data!$G498,0)</f>
        <v>3</v>
      </c>
    </row>
    <row r="499" spans="1:11" ht="14.25" customHeight="1" x14ac:dyDescent="0.3">
      <c r="A499" s="9" t="s">
        <v>533</v>
      </c>
      <c r="B499" s="9" t="s">
        <v>38</v>
      </c>
      <c r="C499" s="2">
        <v>81</v>
      </c>
      <c r="D499" s="12" t="s">
        <v>35</v>
      </c>
      <c r="E499" s="3">
        <v>45071</v>
      </c>
      <c r="F499" s="15">
        <v>116</v>
      </c>
      <c r="G499" s="18">
        <v>4.3</v>
      </c>
      <c r="H499" s="9">
        <f>IF(MONTH(Data!$E499)&lt;=6, YEAR(Data!$E499), YEAR(Data!$E499)+1)</f>
        <v>2023</v>
      </c>
      <c r="I499" s="9" t="str">
        <f>TEXT(Data!$E499,"DDDD")</f>
        <v>Thursday</v>
      </c>
      <c r="J499" s="9" t="s">
        <v>14</v>
      </c>
      <c r="K499" s="23">
        <f>ROUND(Data!$G499,0)</f>
        <v>4</v>
      </c>
    </row>
    <row r="500" spans="1:11" ht="14.25" customHeight="1" x14ac:dyDescent="0.3">
      <c r="A500" s="9" t="s">
        <v>534</v>
      </c>
      <c r="B500" s="9" t="s">
        <v>46</v>
      </c>
      <c r="C500" s="2">
        <v>115</v>
      </c>
      <c r="D500" s="12" t="s">
        <v>35</v>
      </c>
      <c r="E500" s="3">
        <v>45071</v>
      </c>
      <c r="F500" s="15">
        <v>40</v>
      </c>
      <c r="G500" s="18">
        <v>4.9000000000000004</v>
      </c>
      <c r="H500" s="9">
        <f>IF(MONTH(Data!$E500)&lt;=6, YEAR(Data!$E500), YEAR(Data!$E500)+1)</f>
        <v>2023</v>
      </c>
      <c r="I500" s="9" t="str">
        <f>TEXT(Data!$E500,"DDDD")</f>
        <v>Thursday</v>
      </c>
      <c r="J500" s="9" t="s">
        <v>14</v>
      </c>
      <c r="K500" s="23">
        <f>ROUND(Data!$G500,0)</f>
        <v>5</v>
      </c>
    </row>
    <row r="501" spans="1:11" ht="14.25" customHeight="1" x14ac:dyDescent="0.3">
      <c r="A501" s="9" t="s">
        <v>535</v>
      </c>
      <c r="B501" s="9" t="s">
        <v>46</v>
      </c>
      <c r="C501" s="2">
        <v>117</v>
      </c>
      <c r="D501" s="12" t="s">
        <v>31</v>
      </c>
      <c r="E501" s="3">
        <v>45071</v>
      </c>
      <c r="F501" s="15">
        <v>40</v>
      </c>
      <c r="G501" s="18">
        <v>4</v>
      </c>
      <c r="H501" s="9">
        <f>IF(MONTH(Data!$E501)&lt;=6, YEAR(Data!$E501), YEAR(Data!$E501)+1)</f>
        <v>2023</v>
      </c>
      <c r="I501" s="9" t="str">
        <f>TEXT(Data!$E501,"DDDD")</f>
        <v>Thursday</v>
      </c>
      <c r="J501" s="9" t="s">
        <v>14</v>
      </c>
      <c r="K501" s="23">
        <f>ROUND(Data!$G501,0)</f>
        <v>4</v>
      </c>
    </row>
    <row r="502" spans="1:11" ht="14.25" customHeight="1" x14ac:dyDescent="0.3">
      <c r="A502" s="9" t="s">
        <v>536</v>
      </c>
      <c r="B502" s="9" t="s">
        <v>68</v>
      </c>
      <c r="C502" s="2">
        <v>110</v>
      </c>
      <c r="D502" s="12" t="s">
        <v>24</v>
      </c>
      <c r="E502" s="3">
        <v>45072</v>
      </c>
      <c r="F502" s="15">
        <v>82</v>
      </c>
      <c r="G502" s="18">
        <v>4</v>
      </c>
      <c r="H502" s="9">
        <f>IF(MONTH(Data!$E502)&lt;=6, YEAR(Data!$E502), YEAR(Data!$E502)+1)</f>
        <v>2023</v>
      </c>
      <c r="I502" s="9" t="str">
        <f>TEXT(Data!$E502,"DDDD")</f>
        <v>Friday</v>
      </c>
      <c r="J502" s="9" t="s">
        <v>14</v>
      </c>
      <c r="K502" s="23">
        <f>ROUND(Data!$G502,0)</f>
        <v>4</v>
      </c>
    </row>
    <row r="503" spans="1:11" ht="14.25" customHeight="1" x14ac:dyDescent="0.3">
      <c r="A503" s="9" t="s">
        <v>537</v>
      </c>
      <c r="B503" s="9" t="s">
        <v>40</v>
      </c>
      <c r="C503" s="2">
        <v>103</v>
      </c>
      <c r="D503" s="12" t="s">
        <v>13</v>
      </c>
      <c r="E503" s="3">
        <v>45072</v>
      </c>
      <c r="F503" s="15">
        <v>62</v>
      </c>
      <c r="G503" s="18">
        <v>3.4</v>
      </c>
      <c r="H503" s="9">
        <f>IF(MONTH(Data!$E503)&lt;=6, YEAR(Data!$E503), YEAR(Data!$E503)+1)</f>
        <v>2023</v>
      </c>
      <c r="I503" s="9" t="str">
        <f>TEXT(Data!$E503,"DDDD")</f>
        <v>Friday</v>
      </c>
      <c r="J503" s="9" t="s">
        <v>14</v>
      </c>
      <c r="K503" s="23">
        <f>ROUND(Data!$G503,0)</f>
        <v>3</v>
      </c>
    </row>
    <row r="504" spans="1:11" ht="14.25" customHeight="1" x14ac:dyDescent="0.3">
      <c r="A504" s="9" t="s">
        <v>538</v>
      </c>
      <c r="B504" s="9" t="s">
        <v>21</v>
      </c>
      <c r="C504" s="2">
        <v>45</v>
      </c>
      <c r="D504" s="12" t="s">
        <v>13</v>
      </c>
      <c r="E504" s="3">
        <v>45072</v>
      </c>
      <c r="F504" s="15">
        <v>135</v>
      </c>
      <c r="G504" s="18">
        <v>3.9</v>
      </c>
      <c r="H504" s="9">
        <f>IF(MONTH(Data!$E504)&lt;=6, YEAR(Data!$E504), YEAR(Data!$E504)+1)</f>
        <v>2023</v>
      </c>
      <c r="I504" s="9" t="str">
        <f>TEXT(Data!$E504,"DDDD")</f>
        <v>Friday</v>
      </c>
      <c r="J504" s="9" t="s">
        <v>27</v>
      </c>
      <c r="K504" s="23">
        <f>ROUND(Data!$G504,0)</f>
        <v>4</v>
      </c>
    </row>
    <row r="505" spans="1:11" ht="14.25" customHeight="1" x14ac:dyDescent="0.3">
      <c r="A505" s="9" t="s">
        <v>539</v>
      </c>
      <c r="B505" s="9" t="s">
        <v>68</v>
      </c>
      <c r="C505" s="2">
        <v>110</v>
      </c>
      <c r="D505" s="12" t="s">
        <v>19</v>
      </c>
      <c r="E505" s="3">
        <v>45072</v>
      </c>
      <c r="F505" s="15">
        <v>155</v>
      </c>
      <c r="G505" s="18">
        <v>2.1</v>
      </c>
      <c r="H505" s="9">
        <f>IF(MONTH(Data!$E505)&lt;=6, YEAR(Data!$E505), YEAR(Data!$E505)+1)</f>
        <v>2023</v>
      </c>
      <c r="I505" s="9" t="str">
        <f>TEXT(Data!$E505,"DDDD")</f>
        <v>Friday</v>
      </c>
      <c r="J505" s="9" t="s">
        <v>14</v>
      </c>
      <c r="K505" s="23">
        <f>ROUND(Data!$G505,0)</f>
        <v>2</v>
      </c>
    </row>
    <row r="506" spans="1:11" ht="14.25" customHeight="1" x14ac:dyDescent="0.3">
      <c r="A506" s="9" t="s">
        <v>540</v>
      </c>
      <c r="B506" s="9" t="s">
        <v>34</v>
      </c>
      <c r="C506" s="2">
        <v>43</v>
      </c>
      <c r="D506" s="12" t="s">
        <v>24</v>
      </c>
      <c r="E506" s="3">
        <v>45072</v>
      </c>
      <c r="F506" s="15">
        <v>37</v>
      </c>
      <c r="G506" s="18">
        <v>4.9000000000000004</v>
      </c>
      <c r="H506" s="9">
        <f>IF(MONTH(Data!$E506)&lt;=6, YEAR(Data!$E506), YEAR(Data!$E506)+1)</f>
        <v>2023</v>
      </c>
      <c r="I506" s="9" t="str">
        <f>TEXT(Data!$E506,"DDDD")</f>
        <v>Friday</v>
      </c>
      <c r="J506" s="9" t="s">
        <v>27</v>
      </c>
      <c r="K506" s="23">
        <f>ROUND(Data!$G506,0)</f>
        <v>5</v>
      </c>
    </row>
    <row r="507" spans="1:11" ht="14.25" customHeight="1" x14ac:dyDescent="0.3">
      <c r="A507" s="9" t="s">
        <v>541</v>
      </c>
      <c r="B507" s="9" t="s">
        <v>68</v>
      </c>
      <c r="C507" s="2">
        <v>104</v>
      </c>
      <c r="D507" s="12" t="s">
        <v>31</v>
      </c>
      <c r="E507" s="3">
        <v>45073</v>
      </c>
      <c r="F507" s="15">
        <v>56</v>
      </c>
      <c r="G507" s="18">
        <v>3.4</v>
      </c>
      <c r="H507" s="9">
        <f>IF(MONTH(Data!$E507)&lt;=6, YEAR(Data!$E507), YEAR(Data!$E507)+1)</f>
        <v>2023</v>
      </c>
      <c r="I507" s="9" t="str">
        <f>TEXT(Data!$E507,"DDDD")</f>
        <v>Saturday</v>
      </c>
      <c r="J507" s="9" t="s">
        <v>14</v>
      </c>
      <c r="K507" s="23">
        <f>ROUND(Data!$G507,0)</f>
        <v>3</v>
      </c>
    </row>
    <row r="508" spans="1:11" ht="14.25" customHeight="1" x14ac:dyDescent="0.3">
      <c r="A508" s="9" t="s">
        <v>542</v>
      </c>
      <c r="B508" s="9" t="s">
        <v>68</v>
      </c>
      <c r="C508" s="2">
        <v>101</v>
      </c>
      <c r="D508" s="12" t="s">
        <v>31</v>
      </c>
      <c r="E508" s="3">
        <v>45073</v>
      </c>
      <c r="F508" s="15">
        <v>185</v>
      </c>
      <c r="G508" s="18">
        <v>5</v>
      </c>
      <c r="H508" s="9">
        <f>IF(MONTH(Data!$E508)&lt;=6, YEAR(Data!$E508), YEAR(Data!$E508)+1)</f>
        <v>2023</v>
      </c>
      <c r="I508" s="9" t="str">
        <f>TEXT(Data!$E508,"DDDD")</f>
        <v>Saturday</v>
      </c>
      <c r="J508" s="9" t="s">
        <v>14</v>
      </c>
      <c r="K508" s="23">
        <f>ROUND(Data!$G508,0)</f>
        <v>5</v>
      </c>
    </row>
    <row r="509" spans="1:11" ht="14.25" customHeight="1" x14ac:dyDescent="0.3">
      <c r="A509" s="9" t="s">
        <v>543</v>
      </c>
      <c r="B509" s="9" t="s">
        <v>12</v>
      </c>
      <c r="C509" s="2">
        <v>55</v>
      </c>
      <c r="D509" s="12" t="s">
        <v>24</v>
      </c>
      <c r="E509" s="3">
        <v>45074</v>
      </c>
      <c r="F509" s="15">
        <v>145</v>
      </c>
      <c r="G509" s="18">
        <v>4.5</v>
      </c>
      <c r="H509" s="9">
        <f>IF(MONTH(Data!$E509)&lt;=6, YEAR(Data!$E509), YEAR(Data!$E509)+1)</f>
        <v>2023</v>
      </c>
      <c r="I509" s="9" t="str">
        <f>TEXT(Data!$E509,"DDDD")</f>
        <v>Sunday</v>
      </c>
      <c r="J509" s="9" t="s">
        <v>27</v>
      </c>
      <c r="K509" s="23">
        <f>ROUND(Data!$G509,0)</f>
        <v>5</v>
      </c>
    </row>
    <row r="510" spans="1:11" ht="14.25" customHeight="1" x14ac:dyDescent="0.3">
      <c r="A510" s="9" t="s">
        <v>544</v>
      </c>
      <c r="B510" s="9" t="s">
        <v>38</v>
      </c>
      <c r="C510" s="2">
        <v>40</v>
      </c>
      <c r="D510" s="12" t="s">
        <v>13</v>
      </c>
      <c r="E510" s="3">
        <v>45074</v>
      </c>
      <c r="F510" s="15">
        <v>116</v>
      </c>
      <c r="G510" s="18">
        <v>2.6</v>
      </c>
      <c r="H510" s="9">
        <f>IF(MONTH(Data!$E510)&lt;=6, YEAR(Data!$E510), YEAR(Data!$E510)+1)</f>
        <v>2023</v>
      </c>
      <c r="I510" s="9" t="str">
        <f>TEXT(Data!$E510,"DDDD")</f>
        <v>Sunday</v>
      </c>
      <c r="J510" s="9" t="s">
        <v>27</v>
      </c>
      <c r="K510" s="23">
        <f>ROUND(Data!$G510,0)</f>
        <v>3</v>
      </c>
    </row>
    <row r="511" spans="1:11" ht="14.25" customHeight="1" x14ac:dyDescent="0.3">
      <c r="A511" s="9" t="s">
        <v>545</v>
      </c>
      <c r="B511" s="9" t="s">
        <v>34</v>
      </c>
      <c r="C511" s="2">
        <v>122</v>
      </c>
      <c r="D511" s="12" t="s">
        <v>35</v>
      </c>
      <c r="E511" s="3">
        <v>45074</v>
      </c>
      <c r="F511" s="15">
        <v>45</v>
      </c>
      <c r="G511" s="18">
        <v>4.2</v>
      </c>
      <c r="H511" s="9">
        <f>IF(MONTH(Data!$E511)&lt;=6, YEAR(Data!$E511), YEAR(Data!$E511)+1)</f>
        <v>2023</v>
      </c>
      <c r="I511" s="9" t="str">
        <f>TEXT(Data!$E511,"DDDD")</f>
        <v>Sunday</v>
      </c>
      <c r="J511" s="9" t="s">
        <v>25</v>
      </c>
      <c r="K511" s="23">
        <f>ROUND(Data!$G511,0)</f>
        <v>4</v>
      </c>
    </row>
    <row r="512" spans="1:11" ht="14.25" customHeight="1" x14ac:dyDescent="0.3">
      <c r="A512" s="9" t="s">
        <v>546</v>
      </c>
      <c r="B512" s="9" t="s">
        <v>23</v>
      </c>
      <c r="C512" s="2">
        <v>98</v>
      </c>
      <c r="D512" s="12" t="s">
        <v>31</v>
      </c>
      <c r="E512" s="3">
        <v>45075</v>
      </c>
      <c r="F512" s="15">
        <v>35</v>
      </c>
      <c r="G512" s="18">
        <v>4.5</v>
      </c>
      <c r="H512" s="9">
        <f>IF(MONTH(Data!$E512)&lt;=6, YEAR(Data!$E512), YEAR(Data!$E512)+1)</f>
        <v>2023</v>
      </c>
      <c r="I512" s="9" t="str">
        <f>TEXT(Data!$E512,"DDDD")</f>
        <v>Monday</v>
      </c>
      <c r="J512" s="9" t="s">
        <v>14</v>
      </c>
      <c r="K512" s="23">
        <f>ROUND(Data!$G512,0)</f>
        <v>5</v>
      </c>
    </row>
    <row r="513" spans="1:11" ht="14.25" customHeight="1" x14ac:dyDescent="0.3">
      <c r="A513" s="9" t="s">
        <v>547</v>
      </c>
      <c r="B513" s="9" t="s">
        <v>46</v>
      </c>
      <c r="C513" s="2">
        <v>110</v>
      </c>
      <c r="D513" s="12" t="s">
        <v>13</v>
      </c>
      <c r="E513" s="3">
        <v>45075</v>
      </c>
      <c r="F513" s="15">
        <v>100</v>
      </c>
      <c r="G513" s="18">
        <v>4.4000000000000004</v>
      </c>
      <c r="H513" s="9">
        <f>IF(MONTH(Data!$E513)&lt;=6, YEAR(Data!$E513), YEAR(Data!$E513)+1)</f>
        <v>2023</v>
      </c>
      <c r="I513" s="9" t="str">
        <f>TEXT(Data!$E513,"DDDD")</f>
        <v>Monday</v>
      </c>
      <c r="J513" s="9" t="s">
        <v>14</v>
      </c>
      <c r="K513" s="23">
        <f>ROUND(Data!$G513,0)</f>
        <v>4</v>
      </c>
    </row>
    <row r="514" spans="1:11" ht="14.25" customHeight="1" x14ac:dyDescent="0.3">
      <c r="A514" s="9" t="s">
        <v>548</v>
      </c>
      <c r="B514" s="9" t="s">
        <v>46</v>
      </c>
      <c r="C514" s="2">
        <v>62</v>
      </c>
      <c r="D514" s="12" t="s">
        <v>24</v>
      </c>
      <c r="E514" s="3">
        <v>45076</v>
      </c>
      <c r="F514" s="15">
        <v>125</v>
      </c>
      <c r="G514" s="18">
        <v>3.5</v>
      </c>
      <c r="H514" s="9">
        <f>IF(MONTH(Data!$E514)&lt;=6, YEAR(Data!$E514), YEAR(Data!$E514)+1)</f>
        <v>2023</v>
      </c>
      <c r="I514" s="9" t="str">
        <f>TEXT(Data!$E514,"DDDD")</f>
        <v>Tuesday</v>
      </c>
      <c r="J514" s="9" t="s">
        <v>14</v>
      </c>
      <c r="K514" s="23">
        <f>ROUND(Data!$G514,0)</f>
        <v>4</v>
      </c>
    </row>
    <row r="515" spans="1:11" ht="14.25" customHeight="1" x14ac:dyDescent="0.3">
      <c r="A515" s="9" t="s">
        <v>549</v>
      </c>
      <c r="B515" s="9" t="s">
        <v>34</v>
      </c>
      <c r="C515" s="2">
        <v>134</v>
      </c>
      <c r="D515" s="12" t="s">
        <v>35</v>
      </c>
      <c r="E515" s="3">
        <v>45076</v>
      </c>
      <c r="F515" s="15">
        <v>120</v>
      </c>
      <c r="G515" s="18">
        <v>3</v>
      </c>
      <c r="H515" s="9">
        <f>IF(MONTH(Data!$E515)&lt;=6, YEAR(Data!$E515), YEAR(Data!$E515)+1)</f>
        <v>2023</v>
      </c>
      <c r="I515" s="9" t="str">
        <f>TEXT(Data!$E515,"DDDD")</f>
        <v>Tuesday</v>
      </c>
      <c r="J515" s="9" t="s">
        <v>25</v>
      </c>
      <c r="K515" s="23">
        <f>ROUND(Data!$G515,0)</f>
        <v>3</v>
      </c>
    </row>
    <row r="516" spans="1:11" ht="14.25" customHeight="1" x14ac:dyDescent="0.3">
      <c r="A516" s="9" t="s">
        <v>550</v>
      </c>
      <c r="B516" s="9" t="s">
        <v>55</v>
      </c>
      <c r="C516" s="2">
        <v>94</v>
      </c>
      <c r="D516" s="12" t="s">
        <v>19</v>
      </c>
      <c r="E516" s="3">
        <v>45076</v>
      </c>
      <c r="F516" s="15">
        <v>180</v>
      </c>
      <c r="G516" s="18">
        <v>4.7</v>
      </c>
      <c r="H516" s="9">
        <f>IF(MONTH(Data!$E516)&lt;=6, YEAR(Data!$E516), YEAR(Data!$E516)+1)</f>
        <v>2023</v>
      </c>
      <c r="I516" s="9" t="str">
        <f>TEXT(Data!$E516,"DDDD")</f>
        <v>Tuesday</v>
      </c>
      <c r="J516" s="9" t="s">
        <v>14</v>
      </c>
      <c r="K516" s="23">
        <f>ROUND(Data!$G516,0)</f>
        <v>5</v>
      </c>
    </row>
    <row r="517" spans="1:11" ht="14.25" customHeight="1" x14ac:dyDescent="0.3">
      <c r="A517" s="9" t="s">
        <v>551</v>
      </c>
      <c r="B517" s="9" t="s">
        <v>29</v>
      </c>
      <c r="C517" s="2">
        <v>63</v>
      </c>
      <c r="D517" s="12" t="s">
        <v>13</v>
      </c>
      <c r="E517" s="3">
        <v>45076</v>
      </c>
      <c r="F517" s="15">
        <v>44</v>
      </c>
      <c r="G517" s="18">
        <v>3</v>
      </c>
      <c r="H517" s="9">
        <f>IF(MONTH(Data!$E517)&lt;=6, YEAR(Data!$E517), YEAR(Data!$E517)+1)</f>
        <v>2023</v>
      </c>
      <c r="I517" s="9" t="str">
        <f>TEXT(Data!$E517,"DDDD")</f>
        <v>Tuesday</v>
      </c>
      <c r="J517" s="9" t="s">
        <v>14</v>
      </c>
      <c r="K517" s="23">
        <f>ROUND(Data!$G517,0)</f>
        <v>3</v>
      </c>
    </row>
    <row r="518" spans="1:11" ht="14.25" customHeight="1" x14ac:dyDescent="0.3">
      <c r="A518" s="9" t="s">
        <v>552</v>
      </c>
      <c r="B518" s="9" t="s">
        <v>50</v>
      </c>
      <c r="C518" s="2">
        <v>95</v>
      </c>
      <c r="D518" s="12" t="s">
        <v>35</v>
      </c>
      <c r="E518" s="3">
        <v>45076</v>
      </c>
      <c r="F518" s="15">
        <v>86</v>
      </c>
      <c r="G518" s="18">
        <v>3.6</v>
      </c>
      <c r="H518" s="9">
        <f>IF(MONTH(Data!$E518)&lt;=6, YEAR(Data!$E518), YEAR(Data!$E518)+1)</f>
        <v>2023</v>
      </c>
      <c r="I518" s="9" t="str">
        <f>TEXT(Data!$E518,"DDDD")</f>
        <v>Tuesday</v>
      </c>
      <c r="J518" s="9" t="s">
        <v>14</v>
      </c>
      <c r="K518" s="23">
        <f>ROUND(Data!$G518,0)</f>
        <v>4</v>
      </c>
    </row>
    <row r="519" spans="1:11" ht="14.25" customHeight="1" x14ac:dyDescent="0.3">
      <c r="A519" s="9" t="s">
        <v>553</v>
      </c>
      <c r="B519" s="9" t="s">
        <v>34</v>
      </c>
      <c r="C519" s="2">
        <v>106</v>
      </c>
      <c r="D519" s="12" t="s">
        <v>35</v>
      </c>
      <c r="E519" s="3">
        <v>45077</v>
      </c>
      <c r="F519" s="15">
        <v>120</v>
      </c>
      <c r="G519" s="18">
        <v>4.0999999999999996</v>
      </c>
      <c r="H519" s="9">
        <f>IF(MONTH(Data!$E519)&lt;=6, YEAR(Data!$E519), YEAR(Data!$E519)+1)</f>
        <v>2023</v>
      </c>
      <c r="I519" s="9" t="str">
        <f>TEXT(Data!$E519,"DDDD")</f>
        <v>Wednesday</v>
      </c>
      <c r="J519" s="9" t="s">
        <v>14</v>
      </c>
      <c r="K519" s="23">
        <f>ROUND(Data!$G519,0)</f>
        <v>4</v>
      </c>
    </row>
    <row r="520" spans="1:11" ht="14.25" customHeight="1" x14ac:dyDescent="0.3">
      <c r="A520" s="9" t="s">
        <v>554</v>
      </c>
      <c r="B520" s="9" t="s">
        <v>21</v>
      </c>
      <c r="C520" s="2">
        <v>94</v>
      </c>
      <c r="D520" s="12" t="s">
        <v>19</v>
      </c>
      <c r="E520" s="3">
        <v>45077</v>
      </c>
      <c r="F520" s="15">
        <v>100</v>
      </c>
      <c r="G520" s="18">
        <v>3.7</v>
      </c>
      <c r="H520" s="9">
        <f>IF(MONTH(Data!$E520)&lt;=6, YEAR(Data!$E520), YEAR(Data!$E520)+1)</f>
        <v>2023</v>
      </c>
      <c r="I520" s="9" t="str">
        <f>TEXT(Data!$E520,"DDDD")</f>
        <v>Wednesday</v>
      </c>
      <c r="J520" s="9" t="s">
        <v>14</v>
      </c>
      <c r="K520" s="23">
        <f>ROUND(Data!$G520,0)</f>
        <v>4</v>
      </c>
    </row>
    <row r="521" spans="1:11" ht="14.25" customHeight="1" x14ac:dyDescent="0.3">
      <c r="A521" s="9" t="s">
        <v>555</v>
      </c>
      <c r="B521" s="9" t="s">
        <v>21</v>
      </c>
      <c r="C521" s="2">
        <v>51</v>
      </c>
      <c r="D521" s="12" t="s">
        <v>19</v>
      </c>
      <c r="E521" s="3">
        <v>45078</v>
      </c>
      <c r="F521" s="15">
        <v>108</v>
      </c>
      <c r="G521" s="18">
        <v>4.5</v>
      </c>
      <c r="H521" s="9">
        <f>IF(MONTH(Data!$E521)&lt;=6, YEAR(Data!$E521), YEAR(Data!$E521)+1)</f>
        <v>2023</v>
      </c>
      <c r="I521" s="9" t="str">
        <f>TEXT(Data!$E521,"DDDD")</f>
        <v>Thursday</v>
      </c>
      <c r="J521" s="9" t="s">
        <v>27</v>
      </c>
      <c r="K521" s="23">
        <f>ROUND(Data!$G521,0)</f>
        <v>5</v>
      </c>
    </row>
    <row r="522" spans="1:11" ht="14.25" customHeight="1" x14ac:dyDescent="0.3">
      <c r="A522" s="9" t="s">
        <v>556</v>
      </c>
      <c r="B522" s="9" t="s">
        <v>88</v>
      </c>
      <c r="C522" s="2">
        <v>39</v>
      </c>
      <c r="D522" s="12" t="s">
        <v>19</v>
      </c>
      <c r="E522" s="3">
        <v>45078</v>
      </c>
      <c r="F522" s="15">
        <v>46</v>
      </c>
      <c r="G522" s="18">
        <v>4.5999999999999996</v>
      </c>
      <c r="H522" s="9">
        <f>IF(MONTH(Data!$E522)&lt;=6, YEAR(Data!$E522), YEAR(Data!$E522)+1)</f>
        <v>2023</v>
      </c>
      <c r="I522" s="9" t="str">
        <f>TEXT(Data!$E522,"DDDD")</f>
        <v>Thursday</v>
      </c>
      <c r="J522" s="9" t="s">
        <v>27</v>
      </c>
      <c r="K522" s="23">
        <f>ROUND(Data!$G522,0)</f>
        <v>5</v>
      </c>
    </row>
    <row r="523" spans="1:11" ht="14.25" customHeight="1" x14ac:dyDescent="0.3">
      <c r="A523" s="9" t="s">
        <v>557</v>
      </c>
      <c r="B523" s="9" t="s">
        <v>38</v>
      </c>
      <c r="C523" s="2">
        <v>111</v>
      </c>
      <c r="D523" s="12" t="s">
        <v>35</v>
      </c>
      <c r="E523" s="3">
        <v>45078</v>
      </c>
      <c r="F523" s="15">
        <v>210</v>
      </c>
      <c r="G523" s="18">
        <v>4.3</v>
      </c>
      <c r="H523" s="9">
        <f>IF(MONTH(Data!$E523)&lt;=6, YEAR(Data!$E523), YEAR(Data!$E523)+1)</f>
        <v>2023</v>
      </c>
      <c r="I523" s="9" t="str">
        <f>TEXT(Data!$E523,"DDDD")</f>
        <v>Thursday</v>
      </c>
      <c r="J523" s="9" t="s">
        <v>14</v>
      </c>
      <c r="K523" s="23">
        <f>ROUND(Data!$G523,0)</f>
        <v>4</v>
      </c>
    </row>
    <row r="524" spans="1:11" ht="14.25" customHeight="1" x14ac:dyDescent="0.3">
      <c r="A524" s="9" t="s">
        <v>558</v>
      </c>
      <c r="B524" s="9" t="s">
        <v>58</v>
      </c>
      <c r="C524" s="2">
        <v>141</v>
      </c>
      <c r="D524" s="12" t="s">
        <v>24</v>
      </c>
      <c r="E524" s="3">
        <v>45080</v>
      </c>
      <c r="F524" s="15">
        <v>54</v>
      </c>
      <c r="G524" s="18">
        <v>4.8</v>
      </c>
      <c r="H524" s="9">
        <f>IF(MONTH(Data!$E524)&lt;=6, YEAR(Data!$E524), YEAR(Data!$E524)+1)</f>
        <v>2023</v>
      </c>
      <c r="I524" s="9" t="str">
        <f>TEXT(Data!$E524,"DDDD")</f>
        <v>Saturday</v>
      </c>
      <c r="J524" s="9" t="s">
        <v>25</v>
      </c>
      <c r="K524" s="23">
        <f>ROUND(Data!$G524,0)</f>
        <v>5</v>
      </c>
    </row>
    <row r="525" spans="1:11" ht="14.25" customHeight="1" x14ac:dyDescent="0.3">
      <c r="A525" s="9" t="s">
        <v>559</v>
      </c>
      <c r="B525" s="9" t="s">
        <v>29</v>
      </c>
      <c r="C525" s="2">
        <v>147</v>
      </c>
      <c r="D525" s="12" t="s">
        <v>35</v>
      </c>
      <c r="E525" s="3">
        <v>45080</v>
      </c>
      <c r="F525" s="15">
        <v>115</v>
      </c>
      <c r="G525" s="18">
        <v>4.7</v>
      </c>
      <c r="H525" s="9">
        <f>IF(MONTH(Data!$E525)&lt;=6, YEAR(Data!$E525), YEAR(Data!$E525)+1)</f>
        <v>2023</v>
      </c>
      <c r="I525" s="9" t="str">
        <f>TEXT(Data!$E525,"DDDD")</f>
        <v>Saturday</v>
      </c>
      <c r="J525" s="9" t="s">
        <v>25</v>
      </c>
      <c r="K525" s="23">
        <f>ROUND(Data!$G525,0)</f>
        <v>5</v>
      </c>
    </row>
    <row r="526" spans="1:11" ht="14.25" customHeight="1" x14ac:dyDescent="0.3">
      <c r="A526" s="9" t="s">
        <v>560</v>
      </c>
      <c r="B526" s="9" t="s">
        <v>55</v>
      </c>
      <c r="C526" s="2">
        <v>49</v>
      </c>
      <c r="D526" s="12" t="s">
        <v>19</v>
      </c>
      <c r="E526" s="3">
        <v>45081</v>
      </c>
      <c r="F526" s="15">
        <v>100</v>
      </c>
      <c r="G526" s="18">
        <v>2.2000000000000002</v>
      </c>
      <c r="H526" s="9">
        <f>IF(MONTH(Data!$E526)&lt;=6, YEAR(Data!$E526), YEAR(Data!$E526)+1)</f>
        <v>2023</v>
      </c>
      <c r="I526" s="9" t="str">
        <f>TEXT(Data!$E526,"DDDD")</f>
        <v>Sunday</v>
      </c>
      <c r="J526" s="9" t="s">
        <v>27</v>
      </c>
      <c r="K526" s="23">
        <f>ROUND(Data!$G526,0)</f>
        <v>2</v>
      </c>
    </row>
    <row r="527" spans="1:11" ht="14.25" customHeight="1" x14ac:dyDescent="0.3">
      <c r="A527" s="9" t="s">
        <v>561</v>
      </c>
      <c r="B527" s="9" t="s">
        <v>18</v>
      </c>
      <c r="C527" s="2">
        <v>75</v>
      </c>
      <c r="D527" s="12" t="s">
        <v>35</v>
      </c>
      <c r="E527" s="3">
        <v>45081</v>
      </c>
      <c r="F527" s="15">
        <v>38</v>
      </c>
      <c r="G527" s="18">
        <v>4.4000000000000004</v>
      </c>
      <c r="H527" s="9">
        <f>IF(MONTH(Data!$E527)&lt;=6, YEAR(Data!$E527), YEAR(Data!$E527)+1)</f>
        <v>2023</v>
      </c>
      <c r="I527" s="9" t="str">
        <f>TEXT(Data!$E527,"DDDD")</f>
        <v>Sunday</v>
      </c>
      <c r="J527" s="9" t="s">
        <v>14</v>
      </c>
      <c r="K527" s="23">
        <f>ROUND(Data!$G527,0)</f>
        <v>4</v>
      </c>
    </row>
    <row r="528" spans="1:11" ht="14.25" customHeight="1" x14ac:dyDescent="0.3">
      <c r="A528" s="9" t="s">
        <v>562</v>
      </c>
      <c r="B528" s="9" t="s">
        <v>58</v>
      </c>
      <c r="C528" s="2">
        <v>48</v>
      </c>
      <c r="D528" s="12" t="s">
        <v>24</v>
      </c>
      <c r="E528" s="3">
        <v>45082</v>
      </c>
      <c r="F528" s="15">
        <v>120</v>
      </c>
      <c r="G528" s="18">
        <v>4.0999999999999996</v>
      </c>
      <c r="H528" s="9">
        <f>IF(MONTH(Data!$E528)&lt;=6, YEAR(Data!$E528), YEAR(Data!$E528)+1)</f>
        <v>2023</v>
      </c>
      <c r="I528" s="9" t="str">
        <f>TEXT(Data!$E528,"DDDD")</f>
        <v>Monday</v>
      </c>
      <c r="J528" s="9" t="s">
        <v>27</v>
      </c>
      <c r="K528" s="23">
        <f>ROUND(Data!$G528,0)</f>
        <v>4</v>
      </c>
    </row>
    <row r="529" spans="1:11" ht="14.25" customHeight="1" x14ac:dyDescent="0.3">
      <c r="A529" s="9" t="s">
        <v>563</v>
      </c>
      <c r="B529" s="9" t="s">
        <v>46</v>
      </c>
      <c r="C529" s="2">
        <v>48</v>
      </c>
      <c r="D529" s="12" t="s">
        <v>24</v>
      </c>
      <c r="E529" s="3">
        <v>45082</v>
      </c>
      <c r="F529" s="15">
        <v>120</v>
      </c>
      <c r="G529" s="18">
        <v>4.0999999999999996</v>
      </c>
      <c r="H529" s="9">
        <f>IF(MONTH(Data!$E529)&lt;=6, YEAR(Data!$E529), YEAR(Data!$E529)+1)</f>
        <v>2023</v>
      </c>
      <c r="I529" s="9" t="str">
        <f>TEXT(Data!$E529,"DDDD")</f>
        <v>Monday</v>
      </c>
      <c r="J529" s="9" t="s">
        <v>27</v>
      </c>
      <c r="K529" s="23">
        <f>ROUND(Data!$G529,0)</f>
        <v>4</v>
      </c>
    </row>
    <row r="530" spans="1:11" ht="14.25" customHeight="1" x14ac:dyDescent="0.3">
      <c r="A530" s="9" t="s">
        <v>564</v>
      </c>
      <c r="B530" s="9" t="s">
        <v>16</v>
      </c>
      <c r="C530" s="2">
        <v>138</v>
      </c>
      <c r="D530" s="12" t="s">
        <v>19</v>
      </c>
      <c r="E530" s="3">
        <v>45082</v>
      </c>
      <c r="F530" s="15">
        <v>29</v>
      </c>
      <c r="G530" s="18">
        <v>4.4000000000000004</v>
      </c>
      <c r="H530" s="9">
        <f>IF(MONTH(Data!$E530)&lt;=6, YEAR(Data!$E530), YEAR(Data!$E530)+1)</f>
        <v>2023</v>
      </c>
      <c r="I530" s="9" t="str">
        <f>TEXT(Data!$E530,"DDDD")</f>
        <v>Monday</v>
      </c>
      <c r="J530" s="9" t="s">
        <v>25</v>
      </c>
      <c r="K530" s="23">
        <f>ROUND(Data!$G530,0)</f>
        <v>4</v>
      </c>
    </row>
    <row r="531" spans="1:11" ht="14.25" customHeight="1" x14ac:dyDescent="0.3">
      <c r="A531" s="9" t="s">
        <v>565</v>
      </c>
      <c r="B531" s="9" t="s">
        <v>50</v>
      </c>
      <c r="C531" s="2">
        <v>144</v>
      </c>
      <c r="D531" s="12" t="s">
        <v>19</v>
      </c>
      <c r="E531" s="3">
        <v>45083</v>
      </c>
      <c r="F531" s="15">
        <v>25</v>
      </c>
      <c r="G531" s="18">
        <v>3.7</v>
      </c>
      <c r="H531" s="9">
        <f>IF(MONTH(Data!$E531)&lt;=6, YEAR(Data!$E531), YEAR(Data!$E531)+1)</f>
        <v>2023</v>
      </c>
      <c r="I531" s="9" t="str">
        <f>TEXT(Data!$E531,"DDDD")</f>
        <v>Tuesday</v>
      </c>
      <c r="J531" s="9" t="s">
        <v>25</v>
      </c>
      <c r="K531" s="23">
        <f>ROUND(Data!$G531,0)</f>
        <v>4</v>
      </c>
    </row>
    <row r="532" spans="1:11" ht="14.25" customHeight="1" x14ac:dyDescent="0.3">
      <c r="A532" s="9" t="s">
        <v>566</v>
      </c>
      <c r="B532" s="9" t="s">
        <v>68</v>
      </c>
      <c r="C532" s="2">
        <v>119</v>
      </c>
      <c r="D532" s="12" t="s">
        <v>35</v>
      </c>
      <c r="E532" s="3">
        <v>45084</v>
      </c>
      <c r="F532" s="15">
        <v>116</v>
      </c>
      <c r="G532" s="18">
        <v>3.8</v>
      </c>
      <c r="H532" s="9">
        <f>IF(MONTH(Data!$E532)&lt;=6, YEAR(Data!$E532), YEAR(Data!$E532)+1)</f>
        <v>2023</v>
      </c>
      <c r="I532" s="9" t="str">
        <f>TEXT(Data!$E532,"DDDD")</f>
        <v>Wednesday</v>
      </c>
      <c r="J532" s="9" t="s">
        <v>14</v>
      </c>
      <c r="K532" s="23">
        <f>ROUND(Data!$G532,0)</f>
        <v>4</v>
      </c>
    </row>
    <row r="533" spans="1:11" ht="14.25" customHeight="1" x14ac:dyDescent="0.3">
      <c r="A533" s="9" t="s">
        <v>567</v>
      </c>
      <c r="B533" s="9" t="s">
        <v>16</v>
      </c>
      <c r="C533" s="2">
        <v>101</v>
      </c>
      <c r="D533" s="12" t="s">
        <v>24</v>
      </c>
      <c r="E533" s="3">
        <v>45085</v>
      </c>
      <c r="F533" s="15">
        <v>132</v>
      </c>
      <c r="G533" s="18">
        <v>4.3</v>
      </c>
      <c r="H533" s="9">
        <f>IF(MONTH(Data!$E533)&lt;=6, YEAR(Data!$E533), YEAR(Data!$E533)+1)</f>
        <v>2023</v>
      </c>
      <c r="I533" s="9" t="str">
        <f>TEXT(Data!$E533,"DDDD")</f>
        <v>Thursday</v>
      </c>
      <c r="J533" s="9" t="s">
        <v>14</v>
      </c>
      <c r="K533" s="23">
        <f>ROUND(Data!$G533,0)</f>
        <v>4</v>
      </c>
    </row>
    <row r="534" spans="1:11" ht="14.25" customHeight="1" x14ac:dyDescent="0.3">
      <c r="A534" s="9" t="s">
        <v>568</v>
      </c>
      <c r="B534" s="9" t="s">
        <v>50</v>
      </c>
      <c r="C534" s="2">
        <v>59</v>
      </c>
      <c r="D534" s="12" t="s">
        <v>35</v>
      </c>
      <c r="E534" s="3">
        <v>45086</v>
      </c>
      <c r="F534" s="15">
        <v>90</v>
      </c>
      <c r="G534" s="18">
        <v>3.5</v>
      </c>
      <c r="H534" s="9">
        <f>IF(MONTH(Data!$E534)&lt;=6, YEAR(Data!$E534), YEAR(Data!$E534)+1)</f>
        <v>2023</v>
      </c>
      <c r="I534" s="9" t="str">
        <f>TEXT(Data!$E534,"DDDD")</f>
        <v>Friday</v>
      </c>
      <c r="J534" s="9" t="s">
        <v>27</v>
      </c>
      <c r="K534" s="23">
        <f>ROUND(Data!$G534,0)</f>
        <v>4</v>
      </c>
    </row>
    <row r="535" spans="1:11" ht="14.25" customHeight="1" x14ac:dyDescent="0.3">
      <c r="A535" s="9" t="s">
        <v>569</v>
      </c>
      <c r="B535" s="9" t="s">
        <v>38</v>
      </c>
      <c r="C535" s="2">
        <v>125</v>
      </c>
      <c r="D535" s="12" t="s">
        <v>13</v>
      </c>
      <c r="E535" s="3">
        <v>45086</v>
      </c>
      <c r="F535" s="15">
        <v>87</v>
      </c>
      <c r="G535" s="18">
        <v>4.0999999999999996</v>
      </c>
      <c r="H535" s="9">
        <f>IF(MONTH(Data!$E535)&lt;=6, YEAR(Data!$E535), YEAR(Data!$E535)+1)</f>
        <v>2023</v>
      </c>
      <c r="I535" s="9" t="str">
        <f>TEXT(Data!$E535,"DDDD")</f>
        <v>Friday</v>
      </c>
      <c r="J535" s="9" t="s">
        <v>25</v>
      </c>
      <c r="K535" s="23">
        <f>ROUND(Data!$G535,0)</f>
        <v>4</v>
      </c>
    </row>
    <row r="536" spans="1:11" ht="14.25" customHeight="1" x14ac:dyDescent="0.3">
      <c r="A536" s="9" t="s">
        <v>570</v>
      </c>
      <c r="B536" s="9" t="s">
        <v>34</v>
      </c>
      <c r="C536" s="2">
        <v>147</v>
      </c>
      <c r="D536" s="12" t="s">
        <v>35</v>
      </c>
      <c r="E536" s="3">
        <v>45086</v>
      </c>
      <c r="F536" s="15">
        <v>140</v>
      </c>
      <c r="G536" s="18">
        <v>4.2</v>
      </c>
      <c r="H536" s="9">
        <f>IF(MONTH(Data!$E536)&lt;=6, YEAR(Data!$E536), YEAR(Data!$E536)+1)</f>
        <v>2023</v>
      </c>
      <c r="I536" s="9" t="str">
        <f>TEXT(Data!$E536,"DDDD")</f>
        <v>Friday</v>
      </c>
      <c r="J536" s="9" t="s">
        <v>25</v>
      </c>
      <c r="K536" s="23">
        <f>ROUND(Data!$G536,0)</f>
        <v>4</v>
      </c>
    </row>
    <row r="537" spans="1:11" ht="14.25" customHeight="1" x14ac:dyDescent="0.3">
      <c r="A537" s="9" t="s">
        <v>571</v>
      </c>
      <c r="B537" s="9" t="s">
        <v>40</v>
      </c>
      <c r="C537" s="2">
        <v>76</v>
      </c>
      <c r="D537" s="12" t="s">
        <v>35</v>
      </c>
      <c r="E537" s="3">
        <v>45086</v>
      </c>
      <c r="F537" s="15">
        <v>164</v>
      </c>
      <c r="G537" s="18">
        <v>4.5</v>
      </c>
      <c r="H537" s="9">
        <f>IF(MONTH(Data!$E537)&lt;=6, YEAR(Data!$E537), YEAR(Data!$E537)+1)</f>
        <v>2023</v>
      </c>
      <c r="I537" s="9" t="str">
        <f>TEXT(Data!$E537,"DDDD")</f>
        <v>Friday</v>
      </c>
      <c r="J537" s="9" t="s">
        <v>14</v>
      </c>
      <c r="K537" s="23">
        <f>ROUND(Data!$G537,0)</f>
        <v>5</v>
      </c>
    </row>
    <row r="538" spans="1:11" ht="14.25" customHeight="1" x14ac:dyDescent="0.3">
      <c r="A538" s="9" t="s">
        <v>572</v>
      </c>
      <c r="B538" s="9" t="s">
        <v>29</v>
      </c>
      <c r="C538" s="2">
        <v>99</v>
      </c>
      <c r="D538" s="12" t="s">
        <v>24</v>
      </c>
      <c r="E538" s="3">
        <v>45087</v>
      </c>
      <c r="F538" s="15">
        <v>180</v>
      </c>
      <c r="G538" s="18">
        <v>3.8</v>
      </c>
      <c r="H538" s="9">
        <f>IF(MONTH(Data!$E538)&lt;=6, YEAR(Data!$E538), YEAR(Data!$E538)+1)</f>
        <v>2023</v>
      </c>
      <c r="I538" s="9" t="str">
        <f>TEXT(Data!$E538,"DDDD")</f>
        <v>Saturday</v>
      </c>
      <c r="J538" s="9" t="s">
        <v>14</v>
      </c>
      <c r="K538" s="23">
        <f>ROUND(Data!$G538,0)</f>
        <v>4</v>
      </c>
    </row>
    <row r="539" spans="1:11" ht="14.25" customHeight="1" x14ac:dyDescent="0.3">
      <c r="A539" s="9" t="s">
        <v>573</v>
      </c>
      <c r="B539" s="9" t="s">
        <v>88</v>
      </c>
      <c r="C539" s="2">
        <v>111</v>
      </c>
      <c r="D539" s="12" t="s">
        <v>31</v>
      </c>
      <c r="E539" s="3">
        <v>45088</v>
      </c>
      <c r="F539" s="15">
        <v>22</v>
      </c>
      <c r="G539" s="18">
        <v>4.0999999999999996</v>
      </c>
      <c r="H539" s="9">
        <f>IF(MONTH(Data!$E539)&lt;=6, YEAR(Data!$E539), YEAR(Data!$E539)+1)</f>
        <v>2023</v>
      </c>
      <c r="I539" s="9" t="str">
        <f>TEXT(Data!$E539,"DDDD")</f>
        <v>Sunday</v>
      </c>
      <c r="J539" s="9" t="s">
        <v>14</v>
      </c>
      <c r="K539" s="23">
        <f>ROUND(Data!$G539,0)</f>
        <v>4</v>
      </c>
    </row>
    <row r="540" spans="1:11" ht="14.25" customHeight="1" x14ac:dyDescent="0.3">
      <c r="A540" s="9" t="s">
        <v>574</v>
      </c>
      <c r="B540" s="9" t="s">
        <v>23</v>
      </c>
      <c r="C540" s="2">
        <v>147</v>
      </c>
      <c r="D540" s="12" t="s">
        <v>13</v>
      </c>
      <c r="E540" s="3">
        <v>45088</v>
      </c>
      <c r="F540" s="15">
        <v>82</v>
      </c>
      <c r="G540" s="18">
        <v>4.4000000000000004</v>
      </c>
      <c r="H540" s="9">
        <f>IF(MONTH(Data!$E540)&lt;=6, YEAR(Data!$E540), YEAR(Data!$E540)+1)</f>
        <v>2023</v>
      </c>
      <c r="I540" s="9" t="str">
        <f>TEXT(Data!$E540,"DDDD")</f>
        <v>Sunday</v>
      </c>
      <c r="J540" s="9" t="s">
        <v>25</v>
      </c>
      <c r="K540" s="23">
        <f>ROUND(Data!$G540,0)</f>
        <v>4</v>
      </c>
    </row>
    <row r="541" spans="1:11" ht="14.25" customHeight="1" x14ac:dyDescent="0.3">
      <c r="A541" s="9" t="s">
        <v>575</v>
      </c>
      <c r="B541" s="9" t="s">
        <v>12</v>
      </c>
      <c r="C541" s="2">
        <v>141</v>
      </c>
      <c r="D541" s="12" t="s">
        <v>24</v>
      </c>
      <c r="E541" s="3">
        <v>45088</v>
      </c>
      <c r="F541" s="15">
        <v>100</v>
      </c>
      <c r="G541" s="18">
        <v>4.5999999999999996</v>
      </c>
      <c r="H541" s="9">
        <f>IF(MONTH(Data!$E541)&lt;=6, YEAR(Data!$E541), YEAR(Data!$E541)+1)</f>
        <v>2023</v>
      </c>
      <c r="I541" s="9" t="str">
        <f>TEXT(Data!$E541,"DDDD")</f>
        <v>Sunday</v>
      </c>
      <c r="J541" s="9" t="s">
        <v>25</v>
      </c>
      <c r="K541" s="23">
        <f>ROUND(Data!$G541,0)</f>
        <v>5</v>
      </c>
    </row>
    <row r="542" spans="1:11" ht="14.25" customHeight="1" x14ac:dyDescent="0.3">
      <c r="A542" s="9" t="s">
        <v>576</v>
      </c>
      <c r="B542" s="9" t="s">
        <v>40</v>
      </c>
      <c r="C542" s="2">
        <v>71</v>
      </c>
      <c r="D542" s="12" t="s">
        <v>35</v>
      </c>
      <c r="E542" s="3">
        <v>45089</v>
      </c>
      <c r="F542" s="15">
        <v>52</v>
      </c>
      <c r="G542" s="18">
        <v>3.4</v>
      </c>
      <c r="H542" s="9">
        <f>IF(MONTH(Data!$E542)&lt;=6, YEAR(Data!$E542), YEAR(Data!$E542)+1)</f>
        <v>2023</v>
      </c>
      <c r="I542" s="9" t="str">
        <f>TEXT(Data!$E542,"DDDD")</f>
        <v>Monday</v>
      </c>
      <c r="J542" s="9" t="s">
        <v>14</v>
      </c>
      <c r="K542" s="23">
        <f>ROUND(Data!$G542,0)</f>
        <v>3</v>
      </c>
    </row>
    <row r="543" spans="1:11" ht="14.25" customHeight="1" x14ac:dyDescent="0.3">
      <c r="A543" s="9" t="s">
        <v>577</v>
      </c>
      <c r="B543" s="9" t="s">
        <v>40</v>
      </c>
      <c r="C543" s="2">
        <v>121</v>
      </c>
      <c r="D543" s="12" t="s">
        <v>13</v>
      </c>
      <c r="E543" s="3">
        <v>45090</v>
      </c>
      <c r="F543" s="15">
        <v>84</v>
      </c>
      <c r="G543" s="18">
        <v>4.5999999999999996</v>
      </c>
      <c r="H543" s="9">
        <f>IF(MONTH(Data!$E543)&lt;=6, YEAR(Data!$E543), YEAR(Data!$E543)+1)</f>
        <v>2023</v>
      </c>
      <c r="I543" s="9" t="str">
        <f>TEXT(Data!$E543,"DDDD")</f>
        <v>Tuesday</v>
      </c>
      <c r="J543" s="9" t="s">
        <v>25</v>
      </c>
      <c r="K543" s="23">
        <f>ROUND(Data!$G543,0)</f>
        <v>5</v>
      </c>
    </row>
    <row r="544" spans="1:11" ht="14.25" customHeight="1" x14ac:dyDescent="0.3">
      <c r="A544" s="9" t="s">
        <v>578</v>
      </c>
      <c r="B544" s="9" t="s">
        <v>40</v>
      </c>
      <c r="C544" s="2">
        <v>60</v>
      </c>
      <c r="D544" s="12" t="s">
        <v>13</v>
      </c>
      <c r="E544" s="3">
        <v>45090</v>
      </c>
      <c r="F544" s="15">
        <v>37</v>
      </c>
      <c r="G544" s="18">
        <v>3.9</v>
      </c>
      <c r="H544" s="9">
        <f>IF(MONTH(Data!$E544)&lt;=6, YEAR(Data!$E544), YEAR(Data!$E544)+1)</f>
        <v>2023</v>
      </c>
      <c r="I544" s="9" t="str">
        <f>TEXT(Data!$E544,"DDDD")</f>
        <v>Tuesday</v>
      </c>
      <c r="J544" s="9" t="s">
        <v>27</v>
      </c>
      <c r="K544" s="23">
        <f>ROUND(Data!$G544,0)</f>
        <v>4</v>
      </c>
    </row>
    <row r="545" spans="1:11" ht="14.25" customHeight="1" x14ac:dyDescent="0.3">
      <c r="A545" s="9" t="s">
        <v>579</v>
      </c>
      <c r="B545" s="9" t="s">
        <v>55</v>
      </c>
      <c r="C545" s="2">
        <v>158</v>
      </c>
      <c r="D545" s="12" t="s">
        <v>24</v>
      </c>
      <c r="E545" s="3">
        <v>45091</v>
      </c>
      <c r="F545" s="15">
        <v>190</v>
      </c>
      <c r="G545" s="18">
        <v>4</v>
      </c>
      <c r="H545" s="9">
        <f>IF(MONTH(Data!$E545)&lt;=6, YEAR(Data!$E545), YEAR(Data!$E545)+1)</f>
        <v>2023</v>
      </c>
      <c r="I545" s="9" t="str">
        <f>TEXT(Data!$E545,"DDDD")</f>
        <v>Wednesday</v>
      </c>
      <c r="J545" s="9" t="s">
        <v>25</v>
      </c>
      <c r="K545" s="23">
        <f>ROUND(Data!$G545,0)</f>
        <v>4</v>
      </c>
    </row>
    <row r="546" spans="1:11" ht="14.25" customHeight="1" x14ac:dyDescent="0.3">
      <c r="A546" s="9" t="s">
        <v>580</v>
      </c>
      <c r="B546" s="9" t="s">
        <v>34</v>
      </c>
      <c r="C546" s="2">
        <v>159</v>
      </c>
      <c r="D546" s="12" t="s">
        <v>19</v>
      </c>
      <c r="E546" s="3">
        <v>45091</v>
      </c>
      <c r="F546" s="15">
        <v>66</v>
      </c>
      <c r="G546" s="18">
        <v>3.4</v>
      </c>
      <c r="H546" s="9">
        <f>IF(MONTH(Data!$E546)&lt;=6, YEAR(Data!$E546), YEAR(Data!$E546)+1)</f>
        <v>2023</v>
      </c>
      <c r="I546" s="9" t="str">
        <f>TEXT(Data!$E546,"DDDD")</f>
        <v>Wednesday</v>
      </c>
      <c r="J546" s="9" t="s">
        <v>25</v>
      </c>
      <c r="K546" s="23">
        <f>ROUND(Data!$G546,0)</f>
        <v>3</v>
      </c>
    </row>
    <row r="547" spans="1:11" ht="14.25" customHeight="1" x14ac:dyDescent="0.3">
      <c r="A547" s="9" t="s">
        <v>581</v>
      </c>
      <c r="B547" s="9" t="s">
        <v>16</v>
      </c>
      <c r="C547" s="2">
        <v>70</v>
      </c>
      <c r="D547" s="12" t="s">
        <v>35</v>
      </c>
      <c r="E547" s="3">
        <v>45092</v>
      </c>
      <c r="F547" s="15">
        <v>116</v>
      </c>
      <c r="G547" s="18">
        <v>3.2</v>
      </c>
      <c r="H547" s="9">
        <f>IF(MONTH(Data!$E547)&lt;=6, YEAR(Data!$E547), YEAR(Data!$E547)+1)</f>
        <v>2023</v>
      </c>
      <c r="I547" s="9" t="str">
        <f>TEXT(Data!$E547,"DDDD")</f>
        <v>Thursday</v>
      </c>
      <c r="J547" s="9" t="s">
        <v>14</v>
      </c>
      <c r="K547" s="23">
        <f>ROUND(Data!$G547,0)</f>
        <v>3</v>
      </c>
    </row>
    <row r="548" spans="1:11" ht="14.25" customHeight="1" x14ac:dyDescent="0.3">
      <c r="A548" s="9" t="s">
        <v>582</v>
      </c>
      <c r="B548" s="9" t="s">
        <v>58</v>
      </c>
      <c r="C548" s="2">
        <v>78</v>
      </c>
      <c r="D548" s="12" t="s">
        <v>31</v>
      </c>
      <c r="E548" s="3">
        <v>45092</v>
      </c>
      <c r="F548" s="15">
        <v>28</v>
      </c>
      <c r="G548" s="18">
        <v>3.9</v>
      </c>
      <c r="H548" s="9">
        <f>IF(MONTH(Data!$E548)&lt;=6, YEAR(Data!$E548), YEAR(Data!$E548)+1)</f>
        <v>2023</v>
      </c>
      <c r="I548" s="9" t="str">
        <f>TEXT(Data!$E548,"DDDD")</f>
        <v>Thursday</v>
      </c>
      <c r="J548" s="9" t="s">
        <v>14</v>
      </c>
      <c r="K548" s="23">
        <f>ROUND(Data!$G548,0)</f>
        <v>4</v>
      </c>
    </row>
    <row r="549" spans="1:11" ht="14.25" customHeight="1" x14ac:dyDescent="0.3">
      <c r="A549" s="9" t="s">
        <v>583</v>
      </c>
      <c r="B549" s="9" t="s">
        <v>23</v>
      </c>
      <c r="C549" s="2">
        <v>103</v>
      </c>
      <c r="D549" s="12" t="s">
        <v>35</v>
      </c>
      <c r="E549" s="3">
        <v>45092</v>
      </c>
      <c r="F549" s="15">
        <v>120</v>
      </c>
      <c r="G549" s="18">
        <v>5</v>
      </c>
      <c r="H549" s="9">
        <f>IF(MONTH(Data!$E549)&lt;=6, YEAR(Data!$E549), YEAR(Data!$E549)+1)</f>
        <v>2023</v>
      </c>
      <c r="I549" s="9" t="str">
        <f>TEXT(Data!$E549,"DDDD")</f>
        <v>Thursday</v>
      </c>
      <c r="J549" s="9" t="s">
        <v>14</v>
      </c>
      <c r="K549" s="23">
        <f>ROUND(Data!$G549,0)</f>
        <v>5</v>
      </c>
    </row>
    <row r="550" spans="1:11" ht="14.25" customHeight="1" x14ac:dyDescent="0.3">
      <c r="A550" s="9" t="s">
        <v>584</v>
      </c>
      <c r="B550" s="9" t="s">
        <v>18</v>
      </c>
      <c r="C550" s="2">
        <v>108</v>
      </c>
      <c r="D550" s="12" t="s">
        <v>24</v>
      </c>
      <c r="E550" s="3">
        <v>45092</v>
      </c>
      <c r="F550" s="15">
        <v>56</v>
      </c>
      <c r="G550" s="18">
        <v>3.5</v>
      </c>
      <c r="H550" s="9">
        <f>IF(MONTH(Data!$E550)&lt;=6, YEAR(Data!$E550), YEAR(Data!$E550)+1)</f>
        <v>2023</v>
      </c>
      <c r="I550" s="9" t="str">
        <f>TEXT(Data!$E550,"DDDD")</f>
        <v>Thursday</v>
      </c>
      <c r="J550" s="9" t="s">
        <v>14</v>
      </c>
      <c r="K550" s="23">
        <f>ROUND(Data!$G550,0)</f>
        <v>4</v>
      </c>
    </row>
    <row r="551" spans="1:11" ht="14.25" customHeight="1" x14ac:dyDescent="0.3">
      <c r="A551" s="9" t="s">
        <v>585</v>
      </c>
      <c r="B551" s="9" t="s">
        <v>18</v>
      </c>
      <c r="C551" s="2">
        <v>44</v>
      </c>
      <c r="D551" s="12" t="s">
        <v>13</v>
      </c>
      <c r="E551" s="3">
        <v>45092</v>
      </c>
      <c r="F551" s="15">
        <v>170</v>
      </c>
      <c r="G551" s="18">
        <v>3.8</v>
      </c>
      <c r="H551" s="9">
        <f>IF(MONTH(Data!$E551)&lt;=6, YEAR(Data!$E551), YEAR(Data!$E551)+1)</f>
        <v>2023</v>
      </c>
      <c r="I551" s="9" t="str">
        <f>TEXT(Data!$E551,"DDDD")</f>
        <v>Thursday</v>
      </c>
      <c r="J551" s="9" t="s">
        <v>27</v>
      </c>
      <c r="K551" s="23">
        <f>ROUND(Data!$G551,0)</f>
        <v>4</v>
      </c>
    </row>
    <row r="552" spans="1:11" ht="14.25" customHeight="1" x14ac:dyDescent="0.3">
      <c r="A552" s="9" t="s">
        <v>586</v>
      </c>
      <c r="B552" s="9" t="s">
        <v>58</v>
      </c>
      <c r="C552" s="2">
        <v>127</v>
      </c>
      <c r="D552" s="12" t="s">
        <v>24</v>
      </c>
      <c r="E552" s="3">
        <v>45093</v>
      </c>
      <c r="F552" s="15">
        <v>200</v>
      </c>
      <c r="G552" s="18">
        <v>4.8</v>
      </c>
      <c r="H552" s="9">
        <f>IF(MONTH(Data!$E552)&lt;=6, YEAR(Data!$E552), YEAR(Data!$E552)+1)</f>
        <v>2023</v>
      </c>
      <c r="I552" s="9" t="str">
        <f>TEXT(Data!$E552,"DDDD")</f>
        <v>Friday</v>
      </c>
      <c r="J552" s="9" t="s">
        <v>25</v>
      </c>
      <c r="K552" s="23">
        <f>ROUND(Data!$G552,0)</f>
        <v>5</v>
      </c>
    </row>
    <row r="553" spans="1:11" ht="14.25" customHeight="1" x14ac:dyDescent="0.3">
      <c r="A553" s="9" t="s">
        <v>587</v>
      </c>
      <c r="B553" s="9" t="s">
        <v>23</v>
      </c>
      <c r="C553" s="2">
        <v>132</v>
      </c>
      <c r="D553" s="12" t="s">
        <v>35</v>
      </c>
      <c r="E553" s="3">
        <v>45094</v>
      </c>
      <c r="F553" s="15">
        <v>50</v>
      </c>
      <c r="G553" s="18">
        <v>4.2</v>
      </c>
      <c r="H553" s="9">
        <f>IF(MONTH(Data!$E553)&lt;=6, YEAR(Data!$E553), YEAR(Data!$E553)+1)</f>
        <v>2023</v>
      </c>
      <c r="I553" s="9" t="str">
        <f>TEXT(Data!$E553,"DDDD")</f>
        <v>Saturday</v>
      </c>
      <c r="J553" s="9" t="s">
        <v>25</v>
      </c>
      <c r="K553" s="23">
        <f>ROUND(Data!$G553,0)</f>
        <v>4</v>
      </c>
    </row>
    <row r="554" spans="1:11" ht="14.25" customHeight="1" x14ac:dyDescent="0.3">
      <c r="A554" s="9" t="s">
        <v>588</v>
      </c>
      <c r="B554" s="9" t="s">
        <v>12</v>
      </c>
      <c r="C554" s="2">
        <v>106</v>
      </c>
      <c r="D554" s="12" t="s">
        <v>31</v>
      </c>
      <c r="E554" s="3">
        <v>45094</v>
      </c>
      <c r="F554" s="15">
        <v>112</v>
      </c>
      <c r="G554" s="18">
        <v>3.7</v>
      </c>
      <c r="H554" s="9">
        <f>IF(MONTH(Data!$E554)&lt;=6, YEAR(Data!$E554), YEAR(Data!$E554)+1)</f>
        <v>2023</v>
      </c>
      <c r="I554" s="9" t="str">
        <f>TEXT(Data!$E554,"DDDD")</f>
        <v>Saturday</v>
      </c>
      <c r="J554" s="9" t="s">
        <v>14</v>
      </c>
      <c r="K554" s="23">
        <f>ROUND(Data!$G554,0)</f>
        <v>4</v>
      </c>
    </row>
    <row r="555" spans="1:11" ht="14.25" customHeight="1" x14ac:dyDescent="0.3">
      <c r="A555" s="9" t="s">
        <v>589</v>
      </c>
      <c r="B555" s="9" t="s">
        <v>88</v>
      </c>
      <c r="C555" s="2">
        <v>107</v>
      </c>
      <c r="D555" s="12" t="s">
        <v>35</v>
      </c>
      <c r="E555" s="3">
        <v>45095</v>
      </c>
      <c r="F555" s="15">
        <v>39</v>
      </c>
      <c r="G555" s="18">
        <v>4.8</v>
      </c>
      <c r="H555" s="9">
        <f>IF(MONTH(Data!$E555)&lt;=6, YEAR(Data!$E555), YEAR(Data!$E555)+1)</f>
        <v>2023</v>
      </c>
      <c r="I555" s="9" t="str">
        <f>TEXT(Data!$E555,"DDDD")</f>
        <v>Sunday</v>
      </c>
      <c r="J555" s="9" t="s">
        <v>14</v>
      </c>
      <c r="K555" s="23">
        <f>ROUND(Data!$G555,0)</f>
        <v>5</v>
      </c>
    </row>
    <row r="556" spans="1:11" ht="14.25" customHeight="1" x14ac:dyDescent="0.3">
      <c r="A556" s="9" t="s">
        <v>590</v>
      </c>
      <c r="B556" s="9" t="s">
        <v>34</v>
      </c>
      <c r="C556" s="2">
        <v>85</v>
      </c>
      <c r="D556" s="12" t="s">
        <v>31</v>
      </c>
      <c r="E556" s="3">
        <v>45095</v>
      </c>
      <c r="F556" s="15">
        <v>38</v>
      </c>
      <c r="G556" s="18">
        <v>4.8</v>
      </c>
      <c r="H556" s="9">
        <f>IF(MONTH(Data!$E556)&lt;=6, YEAR(Data!$E556), YEAR(Data!$E556)+1)</f>
        <v>2023</v>
      </c>
      <c r="I556" s="9" t="str">
        <f>TEXT(Data!$E556,"DDDD")</f>
        <v>Sunday</v>
      </c>
      <c r="J556" s="9" t="s">
        <v>14</v>
      </c>
      <c r="K556" s="23">
        <f>ROUND(Data!$G556,0)</f>
        <v>5</v>
      </c>
    </row>
    <row r="557" spans="1:11" ht="14.25" customHeight="1" x14ac:dyDescent="0.3">
      <c r="A557" s="9" t="s">
        <v>591</v>
      </c>
      <c r="B557" s="9" t="s">
        <v>29</v>
      </c>
      <c r="C557" s="2">
        <v>49</v>
      </c>
      <c r="D557" s="12" t="s">
        <v>35</v>
      </c>
      <c r="E557" s="3">
        <v>45096</v>
      </c>
      <c r="F557" s="15">
        <v>84</v>
      </c>
      <c r="G557" s="18">
        <v>2.9</v>
      </c>
      <c r="H557" s="9">
        <f>IF(MONTH(Data!$E557)&lt;=6, YEAR(Data!$E557), YEAR(Data!$E557)+1)</f>
        <v>2023</v>
      </c>
      <c r="I557" s="9" t="str">
        <f>TEXT(Data!$E557,"DDDD")</f>
        <v>Monday</v>
      </c>
      <c r="J557" s="9" t="s">
        <v>27</v>
      </c>
      <c r="K557" s="23">
        <f>ROUND(Data!$G557,0)</f>
        <v>3</v>
      </c>
    </row>
    <row r="558" spans="1:11" ht="14.25" customHeight="1" x14ac:dyDescent="0.3">
      <c r="A558" s="9" t="s">
        <v>592</v>
      </c>
      <c r="B558" s="9" t="s">
        <v>40</v>
      </c>
      <c r="C558" s="2">
        <v>117</v>
      </c>
      <c r="D558" s="12" t="s">
        <v>24</v>
      </c>
      <c r="E558" s="3">
        <v>45097</v>
      </c>
      <c r="F558" s="15">
        <v>82</v>
      </c>
      <c r="G558" s="18">
        <v>3.5</v>
      </c>
      <c r="H558" s="9">
        <f>IF(MONTH(Data!$E558)&lt;=6, YEAR(Data!$E558), YEAR(Data!$E558)+1)</f>
        <v>2023</v>
      </c>
      <c r="I558" s="9" t="str">
        <f>TEXT(Data!$E558,"DDDD")</f>
        <v>Tuesday</v>
      </c>
      <c r="J558" s="9" t="s">
        <v>14</v>
      </c>
      <c r="K558" s="23">
        <f>ROUND(Data!$G558,0)</f>
        <v>4</v>
      </c>
    </row>
    <row r="559" spans="1:11" ht="14.25" customHeight="1" x14ac:dyDescent="0.3">
      <c r="A559" s="9" t="s">
        <v>593</v>
      </c>
      <c r="B559" s="9" t="s">
        <v>88</v>
      </c>
      <c r="C559" s="2">
        <v>136</v>
      </c>
      <c r="D559" s="12" t="s">
        <v>31</v>
      </c>
      <c r="E559" s="3">
        <v>45097</v>
      </c>
      <c r="F559" s="15">
        <v>37</v>
      </c>
      <c r="G559" s="18">
        <v>0.9</v>
      </c>
      <c r="H559" s="9">
        <f>IF(MONTH(Data!$E559)&lt;=6, YEAR(Data!$E559), YEAR(Data!$E559)+1)</f>
        <v>2023</v>
      </c>
      <c r="I559" s="9" t="str">
        <f>TEXT(Data!$E559,"DDDD")</f>
        <v>Tuesday</v>
      </c>
      <c r="J559" s="9" t="s">
        <v>25</v>
      </c>
      <c r="K559" s="23">
        <f>ROUND(Data!$G559,0)</f>
        <v>1</v>
      </c>
    </row>
    <row r="560" spans="1:11" ht="14.25" customHeight="1" x14ac:dyDescent="0.3">
      <c r="A560" s="9" t="s">
        <v>594</v>
      </c>
      <c r="B560" s="9" t="s">
        <v>18</v>
      </c>
      <c r="C560" s="2">
        <v>130</v>
      </c>
      <c r="D560" s="12" t="s">
        <v>19</v>
      </c>
      <c r="E560" s="3">
        <v>45098</v>
      </c>
      <c r="F560" s="15">
        <v>87</v>
      </c>
      <c r="G560" s="18">
        <v>3.4</v>
      </c>
      <c r="H560" s="9">
        <f>IF(MONTH(Data!$E560)&lt;=6, YEAR(Data!$E560), YEAR(Data!$E560)+1)</f>
        <v>2023</v>
      </c>
      <c r="I560" s="9" t="str">
        <f>TEXT(Data!$E560,"DDDD")</f>
        <v>Wednesday</v>
      </c>
      <c r="J560" s="9" t="s">
        <v>25</v>
      </c>
      <c r="K560" s="23">
        <f>ROUND(Data!$G560,0)</f>
        <v>3</v>
      </c>
    </row>
    <row r="561" spans="1:11" ht="14.25" customHeight="1" x14ac:dyDescent="0.3">
      <c r="A561" s="9" t="s">
        <v>595</v>
      </c>
      <c r="B561" s="9" t="s">
        <v>18</v>
      </c>
      <c r="C561" s="2">
        <v>73</v>
      </c>
      <c r="D561" s="12" t="s">
        <v>19</v>
      </c>
      <c r="E561" s="3">
        <v>45098</v>
      </c>
      <c r="F561" s="15">
        <v>75</v>
      </c>
      <c r="G561" s="18">
        <v>2.7</v>
      </c>
      <c r="H561" s="9">
        <f>IF(MONTH(Data!$E561)&lt;=6, YEAR(Data!$E561), YEAR(Data!$E561)+1)</f>
        <v>2023</v>
      </c>
      <c r="I561" s="9" t="str">
        <f>TEXT(Data!$E561,"DDDD")</f>
        <v>Wednesday</v>
      </c>
      <c r="J561" s="9" t="s">
        <v>14</v>
      </c>
      <c r="K561" s="23">
        <f>ROUND(Data!$G561,0)</f>
        <v>3</v>
      </c>
    </row>
    <row r="562" spans="1:11" ht="14.25" customHeight="1" x14ac:dyDescent="0.3">
      <c r="A562" s="9" t="s">
        <v>596</v>
      </c>
      <c r="B562" s="9" t="s">
        <v>29</v>
      </c>
      <c r="C562" s="2">
        <v>80</v>
      </c>
      <c r="D562" s="12" t="s">
        <v>35</v>
      </c>
      <c r="E562" s="3">
        <v>45098</v>
      </c>
      <c r="F562" s="15">
        <v>32</v>
      </c>
      <c r="G562" s="18">
        <v>4.7</v>
      </c>
      <c r="H562" s="9">
        <f>IF(MONTH(Data!$E562)&lt;=6, YEAR(Data!$E562), YEAR(Data!$E562)+1)</f>
        <v>2023</v>
      </c>
      <c r="I562" s="9" t="str">
        <f>TEXT(Data!$E562,"DDDD")</f>
        <v>Wednesday</v>
      </c>
      <c r="J562" s="9" t="s">
        <v>14</v>
      </c>
      <c r="K562" s="23">
        <f>ROUND(Data!$G562,0)</f>
        <v>5</v>
      </c>
    </row>
    <row r="563" spans="1:11" ht="14.25" customHeight="1" x14ac:dyDescent="0.3">
      <c r="A563" s="9" t="s">
        <v>597</v>
      </c>
      <c r="B563" s="9" t="s">
        <v>68</v>
      </c>
      <c r="C563" s="2">
        <v>44</v>
      </c>
      <c r="D563" s="12" t="s">
        <v>24</v>
      </c>
      <c r="E563" s="3">
        <v>45098</v>
      </c>
      <c r="F563" s="15">
        <v>33</v>
      </c>
      <c r="G563" s="18">
        <v>3</v>
      </c>
      <c r="H563" s="9">
        <f>IF(MONTH(Data!$E563)&lt;=6, YEAR(Data!$E563), YEAR(Data!$E563)+1)</f>
        <v>2023</v>
      </c>
      <c r="I563" s="9" t="str">
        <f>TEXT(Data!$E563,"DDDD")</f>
        <v>Wednesday</v>
      </c>
      <c r="J563" s="9" t="s">
        <v>27</v>
      </c>
      <c r="K563" s="23">
        <f>ROUND(Data!$G563,0)</f>
        <v>3</v>
      </c>
    </row>
    <row r="564" spans="1:11" ht="14.25" customHeight="1" x14ac:dyDescent="0.3">
      <c r="A564" s="9" t="s">
        <v>598</v>
      </c>
      <c r="B564" s="9" t="s">
        <v>68</v>
      </c>
      <c r="C564" s="2">
        <v>102</v>
      </c>
      <c r="D564" s="12" t="s">
        <v>13</v>
      </c>
      <c r="E564" s="3">
        <v>45098</v>
      </c>
      <c r="F564" s="15">
        <v>76</v>
      </c>
      <c r="G564" s="18">
        <v>4.2</v>
      </c>
      <c r="H564" s="9">
        <f>IF(MONTH(Data!$E564)&lt;=6, YEAR(Data!$E564), YEAR(Data!$E564)+1)</f>
        <v>2023</v>
      </c>
      <c r="I564" s="9" t="str">
        <f>TEXT(Data!$E564,"DDDD")</f>
        <v>Wednesday</v>
      </c>
      <c r="J564" s="9" t="s">
        <v>14</v>
      </c>
      <c r="K564" s="23">
        <f>ROUND(Data!$G564,0)</f>
        <v>4</v>
      </c>
    </row>
    <row r="565" spans="1:11" ht="14.25" customHeight="1" x14ac:dyDescent="0.3">
      <c r="A565" s="9" t="s">
        <v>599</v>
      </c>
      <c r="B565" s="9" t="s">
        <v>55</v>
      </c>
      <c r="C565" s="2">
        <v>74</v>
      </c>
      <c r="D565" s="12" t="s">
        <v>13</v>
      </c>
      <c r="E565" s="3">
        <v>45098</v>
      </c>
      <c r="F565" s="15">
        <v>117</v>
      </c>
      <c r="G565" s="18">
        <v>4.8</v>
      </c>
      <c r="H565" s="9">
        <f>IF(MONTH(Data!$E565)&lt;=6, YEAR(Data!$E565), YEAR(Data!$E565)+1)</f>
        <v>2023</v>
      </c>
      <c r="I565" s="9" t="str">
        <f>TEXT(Data!$E565,"DDDD")</f>
        <v>Wednesday</v>
      </c>
      <c r="J565" s="9" t="s">
        <v>14</v>
      </c>
      <c r="K565" s="23">
        <f>ROUND(Data!$G565,0)</f>
        <v>5</v>
      </c>
    </row>
    <row r="566" spans="1:11" ht="14.25" customHeight="1" x14ac:dyDescent="0.3">
      <c r="A566" s="9" t="s">
        <v>600</v>
      </c>
      <c r="B566" s="9" t="s">
        <v>29</v>
      </c>
      <c r="C566" s="2">
        <v>52</v>
      </c>
      <c r="D566" s="12" t="s">
        <v>24</v>
      </c>
      <c r="E566" s="3">
        <v>45100</v>
      </c>
      <c r="F566" s="15">
        <v>70</v>
      </c>
      <c r="G566" s="18">
        <v>4.0999999999999996</v>
      </c>
      <c r="H566" s="9">
        <f>IF(MONTH(Data!$E566)&lt;=6, YEAR(Data!$E566), YEAR(Data!$E566)+1)</f>
        <v>2023</v>
      </c>
      <c r="I566" s="9" t="str">
        <f>TEXT(Data!$E566,"DDDD")</f>
        <v>Friday</v>
      </c>
      <c r="J566" s="9" t="s">
        <v>27</v>
      </c>
      <c r="K566" s="23">
        <f>ROUND(Data!$G566,0)</f>
        <v>4</v>
      </c>
    </row>
    <row r="567" spans="1:11" ht="14.25" customHeight="1" x14ac:dyDescent="0.3">
      <c r="A567" s="9" t="s">
        <v>601</v>
      </c>
      <c r="B567" s="9" t="s">
        <v>29</v>
      </c>
      <c r="C567" s="2">
        <v>74</v>
      </c>
      <c r="D567" s="12" t="s">
        <v>19</v>
      </c>
      <c r="E567" s="3">
        <v>45100</v>
      </c>
      <c r="F567" s="15">
        <v>37</v>
      </c>
      <c r="G567" s="18">
        <v>2.7</v>
      </c>
      <c r="H567" s="9">
        <f>IF(MONTH(Data!$E567)&lt;=6, YEAR(Data!$E567), YEAR(Data!$E567)+1)</f>
        <v>2023</v>
      </c>
      <c r="I567" s="9" t="str">
        <f>TEXT(Data!$E567,"DDDD")</f>
        <v>Friday</v>
      </c>
      <c r="J567" s="9" t="s">
        <v>14</v>
      </c>
      <c r="K567" s="23">
        <f>ROUND(Data!$G567,0)</f>
        <v>3</v>
      </c>
    </row>
    <row r="568" spans="1:11" ht="14.25" customHeight="1" x14ac:dyDescent="0.3">
      <c r="A568" s="9" t="s">
        <v>602</v>
      </c>
      <c r="B568" s="9" t="s">
        <v>18</v>
      </c>
      <c r="C568" s="2">
        <v>96</v>
      </c>
      <c r="D568" s="12" t="s">
        <v>13</v>
      </c>
      <c r="E568" s="3">
        <v>45100</v>
      </c>
      <c r="F568" s="15">
        <v>46</v>
      </c>
      <c r="G568" s="18">
        <v>2.9</v>
      </c>
      <c r="H568" s="9">
        <f>IF(MONTH(Data!$E568)&lt;=6, YEAR(Data!$E568), YEAR(Data!$E568)+1)</f>
        <v>2023</v>
      </c>
      <c r="I568" s="9" t="str">
        <f>TEXT(Data!$E568,"DDDD")</f>
        <v>Friday</v>
      </c>
      <c r="J568" s="9" t="s">
        <v>14</v>
      </c>
      <c r="K568" s="23">
        <f>ROUND(Data!$G568,0)</f>
        <v>3</v>
      </c>
    </row>
    <row r="569" spans="1:11" ht="14.25" customHeight="1" x14ac:dyDescent="0.3">
      <c r="A569" s="9" t="s">
        <v>603</v>
      </c>
      <c r="B569" s="9" t="s">
        <v>38</v>
      </c>
      <c r="C569" s="2">
        <v>104</v>
      </c>
      <c r="D569" s="12" t="s">
        <v>35</v>
      </c>
      <c r="E569" s="3">
        <v>45100</v>
      </c>
      <c r="F569" s="15">
        <v>136</v>
      </c>
      <c r="G569" s="18">
        <v>5</v>
      </c>
      <c r="H569" s="9">
        <f>IF(MONTH(Data!$E569)&lt;=6, YEAR(Data!$E569), YEAR(Data!$E569)+1)</f>
        <v>2023</v>
      </c>
      <c r="I569" s="9" t="str">
        <f>TEXT(Data!$E569,"DDDD")</f>
        <v>Friday</v>
      </c>
      <c r="J569" s="9" t="s">
        <v>14</v>
      </c>
      <c r="K569" s="23">
        <f>ROUND(Data!$G569,0)</f>
        <v>5</v>
      </c>
    </row>
    <row r="570" spans="1:11" ht="14.25" customHeight="1" x14ac:dyDescent="0.3">
      <c r="A570" s="9" t="s">
        <v>604</v>
      </c>
      <c r="B570" s="9" t="s">
        <v>18</v>
      </c>
      <c r="C570" s="2">
        <v>123</v>
      </c>
      <c r="D570" s="12" t="s">
        <v>13</v>
      </c>
      <c r="E570" s="3">
        <v>45101</v>
      </c>
      <c r="F570" s="15">
        <v>44</v>
      </c>
      <c r="G570" s="18">
        <v>4.5999999999999996</v>
      </c>
      <c r="H570" s="9">
        <f>IF(MONTH(Data!$E570)&lt;=6, YEAR(Data!$E570), YEAR(Data!$E570)+1)</f>
        <v>2023</v>
      </c>
      <c r="I570" s="9" t="str">
        <f>TEXT(Data!$E570,"DDDD")</f>
        <v>Saturday</v>
      </c>
      <c r="J570" s="9" t="s">
        <v>25</v>
      </c>
      <c r="K570" s="23">
        <f>ROUND(Data!$G570,0)</f>
        <v>5</v>
      </c>
    </row>
    <row r="571" spans="1:11" ht="14.25" customHeight="1" x14ac:dyDescent="0.3">
      <c r="A571" s="9" t="s">
        <v>605</v>
      </c>
      <c r="B571" s="9" t="s">
        <v>46</v>
      </c>
      <c r="C571" s="2">
        <v>100</v>
      </c>
      <c r="D571" s="12" t="s">
        <v>31</v>
      </c>
      <c r="E571" s="3">
        <v>45101</v>
      </c>
      <c r="F571" s="15">
        <v>69</v>
      </c>
      <c r="G571" s="18">
        <v>3</v>
      </c>
      <c r="H571" s="9">
        <f>IF(MONTH(Data!$E571)&lt;=6, YEAR(Data!$E571), YEAR(Data!$E571)+1)</f>
        <v>2023</v>
      </c>
      <c r="I571" s="9" t="str">
        <f>TEXT(Data!$E571,"DDDD")</f>
        <v>Saturday</v>
      </c>
      <c r="J571" s="9" t="s">
        <v>14</v>
      </c>
      <c r="K571" s="23">
        <f>ROUND(Data!$G571,0)</f>
        <v>3</v>
      </c>
    </row>
    <row r="572" spans="1:11" ht="14.25" customHeight="1" x14ac:dyDescent="0.3">
      <c r="A572" s="9" t="s">
        <v>606</v>
      </c>
      <c r="B572" s="9" t="s">
        <v>38</v>
      </c>
      <c r="C572" s="2">
        <v>35</v>
      </c>
      <c r="D572" s="12" t="s">
        <v>24</v>
      </c>
      <c r="E572" s="3">
        <v>45102</v>
      </c>
      <c r="F572" s="15">
        <v>86</v>
      </c>
      <c r="G572" s="18">
        <v>4.5999999999999996</v>
      </c>
      <c r="H572" s="9">
        <f>IF(MONTH(Data!$E572)&lt;=6, YEAR(Data!$E572), YEAR(Data!$E572)+1)</f>
        <v>2023</v>
      </c>
      <c r="I572" s="9" t="str">
        <f>TEXT(Data!$E572,"DDDD")</f>
        <v>Sunday</v>
      </c>
      <c r="J572" s="9" t="s">
        <v>27</v>
      </c>
      <c r="K572" s="23">
        <f>ROUND(Data!$G572,0)</f>
        <v>5</v>
      </c>
    </row>
    <row r="573" spans="1:11" ht="14.25" customHeight="1" x14ac:dyDescent="0.3">
      <c r="A573" s="9" t="s">
        <v>607</v>
      </c>
      <c r="B573" s="9" t="s">
        <v>29</v>
      </c>
      <c r="C573" s="2">
        <v>123</v>
      </c>
      <c r="D573" s="12" t="s">
        <v>35</v>
      </c>
      <c r="E573" s="3">
        <v>45102</v>
      </c>
      <c r="F573" s="15">
        <v>68</v>
      </c>
      <c r="G573" s="18">
        <v>4.5</v>
      </c>
      <c r="H573" s="9">
        <f>IF(MONTH(Data!$E573)&lt;=6, YEAR(Data!$E573), YEAR(Data!$E573)+1)</f>
        <v>2023</v>
      </c>
      <c r="I573" s="9" t="str">
        <f>TEXT(Data!$E573,"DDDD")</f>
        <v>Sunday</v>
      </c>
      <c r="J573" s="9" t="s">
        <v>25</v>
      </c>
      <c r="K573" s="23">
        <f>ROUND(Data!$G573,0)</f>
        <v>5</v>
      </c>
    </row>
    <row r="574" spans="1:11" ht="14.25" customHeight="1" x14ac:dyDescent="0.3">
      <c r="A574" s="9" t="s">
        <v>608</v>
      </c>
      <c r="B574" s="9" t="s">
        <v>40</v>
      </c>
      <c r="C574" s="2">
        <v>133</v>
      </c>
      <c r="D574" s="12" t="s">
        <v>24</v>
      </c>
      <c r="E574" s="3">
        <v>45103</v>
      </c>
      <c r="F574" s="15">
        <v>21</v>
      </c>
      <c r="G574" s="18">
        <v>3.7</v>
      </c>
      <c r="H574" s="9">
        <f>IF(MONTH(Data!$E574)&lt;=6, YEAR(Data!$E574), YEAR(Data!$E574)+1)</f>
        <v>2023</v>
      </c>
      <c r="I574" s="9" t="str">
        <f>TEXT(Data!$E574,"DDDD")</f>
        <v>Monday</v>
      </c>
      <c r="J574" s="9" t="s">
        <v>25</v>
      </c>
      <c r="K574" s="23">
        <f>ROUND(Data!$G574,0)</f>
        <v>4</v>
      </c>
    </row>
    <row r="575" spans="1:11" ht="14.25" customHeight="1" x14ac:dyDescent="0.3">
      <c r="A575" s="9" t="s">
        <v>609</v>
      </c>
      <c r="B575" s="9" t="s">
        <v>18</v>
      </c>
      <c r="C575" s="2">
        <v>126</v>
      </c>
      <c r="D575" s="12" t="s">
        <v>19</v>
      </c>
      <c r="E575" s="3">
        <v>45103</v>
      </c>
      <c r="F575" s="15">
        <v>190</v>
      </c>
      <c r="G575" s="18">
        <v>2.4</v>
      </c>
      <c r="H575" s="9">
        <f>IF(MONTH(Data!$E575)&lt;=6, YEAR(Data!$E575), YEAR(Data!$E575)+1)</f>
        <v>2023</v>
      </c>
      <c r="I575" s="9" t="str">
        <f>TEXT(Data!$E575,"DDDD")</f>
        <v>Monday</v>
      </c>
      <c r="J575" s="9" t="s">
        <v>25</v>
      </c>
      <c r="K575" s="23">
        <f>ROUND(Data!$G575,0)</f>
        <v>2</v>
      </c>
    </row>
    <row r="576" spans="1:11" ht="14.25" customHeight="1" x14ac:dyDescent="0.3">
      <c r="A576" s="9" t="s">
        <v>610</v>
      </c>
      <c r="B576" s="9" t="s">
        <v>29</v>
      </c>
      <c r="C576" s="2">
        <v>39</v>
      </c>
      <c r="D576" s="12" t="s">
        <v>13</v>
      </c>
      <c r="E576" s="3">
        <v>45103</v>
      </c>
      <c r="F576" s="15">
        <v>176</v>
      </c>
      <c r="G576" s="18">
        <v>4.3</v>
      </c>
      <c r="H576" s="9">
        <f>IF(MONTH(Data!$E576)&lt;=6, YEAR(Data!$E576), YEAR(Data!$E576)+1)</f>
        <v>2023</v>
      </c>
      <c r="I576" s="9" t="str">
        <f>TEXT(Data!$E576,"DDDD")</f>
        <v>Monday</v>
      </c>
      <c r="J576" s="9" t="s">
        <v>27</v>
      </c>
      <c r="K576" s="23">
        <f>ROUND(Data!$G576,0)</f>
        <v>4</v>
      </c>
    </row>
    <row r="577" spans="1:11" ht="14.25" customHeight="1" x14ac:dyDescent="0.3">
      <c r="A577" s="9" t="s">
        <v>611</v>
      </c>
      <c r="B577" s="9" t="s">
        <v>55</v>
      </c>
      <c r="C577" s="2">
        <v>31</v>
      </c>
      <c r="D577" s="12" t="s">
        <v>35</v>
      </c>
      <c r="E577" s="3">
        <v>45103</v>
      </c>
      <c r="F577" s="15">
        <v>172</v>
      </c>
      <c r="G577" s="18">
        <v>3.9</v>
      </c>
      <c r="H577" s="9">
        <f>IF(MONTH(Data!$E577)&lt;=6, YEAR(Data!$E577), YEAR(Data!$E577)+1)</f>
        <v>2023</v>
      </c>
      <c r="I577" s="9" t="str">
        <f>TEXT(Data!$E577,"DDDD")</f>
        <v>Monday</v>
      </c>
      <c r="J577" s="9" t="s">
        <v>27</v>
      </c>
      <c r="K577" s="23">
        <f>ROUND(Data!$G577,0)</f>
        <v>4</v>
      </c>
    </row>
    <row r="578" spans="1:11" ht="14.25" customHeight="1" x14ac:dyDescent="0.3">
      <c r="A578" s="9" t="s">
        <v>612</v>
      </c>
      <c r="B578" s="9" t="s">
        <v>23</v>
      </c>
      <c r="C578" s="2">
        <v>25</v>
      </c>
      <c r="D578" s="12" t="s">
        <v>24</v>
      </c>
      <c r="E578" s="3">
        <v>45103</v>
      </c>
      <c r="F578" s="15">
        <v>84</v>
      </c>
      <c r="G578" s="18">
        <v>4.5</v>
      </c>
      <c r="H578" s="9">
        <f>IF(MONTH(Data!$E578)&lt;=6, YEAR(Data!$E578), YEAR(Data!$E578)+1)</f>
        <v>2023</v>
      </c>
      <c r="I578" s="9" t="str">
        <f>TEXT(Data!$E578,"DDDD")</f>
        <v>Monday</v>
      </c>
      <c r="J578" s="9" t="s">
        <v>47</v>
      </c>
      <c r="K578" s="23">
        <f>ROUND(Data!$G578,0)</f>
        <v>5</v>
      </c>
    </row>
    <row r="579" spans="1:11" ht="14.25" customHeight="1" x14ac:dyDescent="0.3">
      <c r="A579" s="9" t="s">
        <v>613</v>
      </c>
      <c r="B579" s="9" t="s">
        <v>16</v>
      </c>
      <c r="C579" s="2">
        <v>132</v>
      </c>
      <c r="D579" s="12" t="s">
        <v>31</v>
      </c>
      <c r="E579" s="3">
        <v>45104</v>
      </c>
      <c r="F579" s="15">
        <v>42</v>
      </c>
      <c r="G579" s="18">
        <v>5</v>
      </c>
      <c r="H579" s="9">
        <f>IF(MONTH(Data!$E579)&lt;=6, YEAR(Data!$E579), YEAR(Data!$E579)+1)</f>
        <v>2023</v>
      </c>
      <c r="I579" s="9" t="str">
        <f>TEXT(Data!$E579,"DDDD")</f>
        <v>Tuesday</v>
      </c>
      <c r="J579" s="9" t="s">
        <v>25</v>
      </c>
      <c r="K579" s="23">
        <f>ROUND(Data!$G579,0)</f>
        <v>5</v>
      </c>
    </row>
    <row r="580" spans="1:11" ht="14.25" customHeight="1" x14ac:dyDescent="0.3">
      <c r="A580" s="9" t="s">
        <v>614</v>
      </c>
      <c r="B580" s="9" t="s">
        <v>38</v>
      </c>
      <c r="C580" s="2">
        <v>63</v>
      </c>
      <c r="D580" s="12" t="s">
        <v>19</v>
      </c>
      <c r="E580" s="3">
        <v>45104</v>
      </c>
      <c r="F580" s="15">
        <v>70</v>
      </c>
      <c r="G580" s="18">
        <v>1.6</v>
      </c>
      <c r="H580" s="9">
        <f>IF(MONTH(Data!$E580)&lt;=6, YEAR(Data!$E580), YEAR(Data!$E580)+1)</f>
        <v>2023</v>
      </c>
      <c r="I580" s="9" t="str">
        <f>TEXT(Data!$E580,"DDDD")</f>
        <v>Tuesday</v>
      </c>
      <c r="J580" s="9" t="s">
        <v>14</v>
      </c>
      <c r="K580" s="23">
        <f>ROUND(Data!$G580,0)</f>
        <v>2</v>
      </c>
    </row>
    <row r="581" spans="1:11" ht="14.25" customHeight="1" x14ac:dyDescent="0.3">
      <c r="A581" s="9" t="s">
        <v>615</v>
      </c>
      <c r="B581" s="9" t="s">
        <v>46</v>
      </c>
      <c r="C581" s="2">
        <v>135</v>
      </c>
      <c r="D581" s="12" t="s">
        <v>31</v>
      </c>
      <c r="E581" s="3">
        <v>45104</v>
      </c>
      <c r="F581" s="15">
        <v>60</v>
      </c>
      <c r="G581" s="18">
        <v>4.3</v>
      </c>
      <c r="H581" s="9">
        <f>IF(MONTH(Data!$E581)&lt;=6, YEAR(Data!$E581), YEAR(Data!$E581)+1)</f>
        <v>2023</v>
      </c>
      <c r="I581" s="9" t="str">
        <f>TEXT(Data!$E581,"DDDD")</f>
        <v>Tuesday</v>
      </c>
      <c r="J581" s="9" t="s">
        <v>25</v>
      </c>
      <c r="K581" s="23">
        <f>ROUND(Data!$G581,0)</f>
        <v>4</v>
      </c>
    </row>
    <row r="582" spans="1:11" ht="14.25" customHeight="1" x14ac:dyDescent="0.3">
      <c r="A582" s="9" t="s">
        <v>616</v>
      </c>
      <c r="B582" s="9" t="s">
        <v>34</v>
      </c>
      <c r="C582" s="2">
        <v>101</v>
      </c>
      <c r="D582" s="12" t="s">
        <v>19</v>
      </c>
      <c r="E582" s="3">
        <v>45104</v>
      </c>
      <c r="F582" s="15">
        <v>84</v>
      </c>
      <c r="G582" s="18">
        <v>3.5</v>
      </c>
      <c r="H582" s="9">
        <f>IF(MONTH(Data!$E582)&lt;=6, YEAR(Data!$E582), YEAR(Data!$E582)+1)</f>
        <v>2023</v>
      </c>
      <c r="I582" s="9" t="str">
        <f>TEXT(Data!$E582,"DDDD")</f>
        <v>Tuesday</v>
      </c>
      <c r="J582" s="9" t="s">
        <v>14</v>
      </c>
      <c r="K582" s="23">
        <f>ROUND(Data!$G582,0)</f>
        <v>4</v>
      </c>
    </row>
    <row r="583" spans="1:11" ht="14.25" customHeight="1" x14ac:dyDescent="0.3">
      <c r="A583" s="9" t="s">
        <v>617</v>
      </c>
      <c r="B583" s="9" t="s">
        <v>40</v>
      </c>
      <c r="C583" s="2">
        <v>80</v>
      </c>
      <c r="D583" s="12" t="s">
        <v>13</v>
      </c>
      <c r="E583" s="3">
        <v>45105</v>
      </c>
      <c r="F583" s="15">
        <v>68</v>
      </c>
      <c r="G583" s="18">
        <v>3.1</v>
      </c>
      <c r="H583" s="9">
        <f>IF(MONTH(Data!$E583)&lt;=6, YEAR(Data!$E583), YEAR(Data!$E583)+1)</f>
        <v>2023</v>
      </c>
      <c r="I583" s="9" t="str">
        <f>TEXT(Data!$E583,"DDDD")</f>
        <v>Wednesday</v>
      </c>
      <c r="J583" s="9" t="s">
        <v>14</v>
      </c>
      <c r="K583" s="23">
        <f>ROUND(Data!$G583,0)</f>
        <v>3</v>
      </c>
    </row>
    <row r="584" spans="1:11" ht="14.25" customHeight="1" x14ac:dyDescent="0.3">
      <c r="A584" s="9" t="s">
        <v>618</v>
      </c>
      <c r="B584" s="9" t="s">
        <v>68</v>
      </c>
      <c r="C584" s="2">
        <v>28</v>
      </c>
      <c r="D584" s="12" t="s">
        <v>13</v>
      </c>
      <c r="E584" s="3">
        <v>45105</v>
      </c>
      <c r="F584" s="15">
        <v>44</v>
      </c>
      <c r="G584" s="18">
        <v>2.9</v>
      </c>
      <c r="H584" s="9">
        <f>IF(MONTH(Data!$E584)&lt;=6, YEAR(Data!$E584), YEAR(Data!$E584)+1)</f>
        <v>2023</v>
      </c>
      <c r="I584" s="9" t="str">
        <f>TEXT(Data!$E584,"DDDD")</f>
        <v>Wednesday</v>
      </c>
      <c r="J584" s="9" t="s">
        <v>47</v>
      </c>
      <c r="K584" s="23">
        <f>ROUND(Data!$G584,0)</f>
        <v>3</v>
      </c>
    </row>
    <row r="585" spans="1:11" ht="14.25" customHeight="1" x14ac:dyDescent="0.3">
      <c r="A585" s="9" t="s">
        <v>619</v>
      </c>
      <c r="B585" s="9" t="s">
        <v>34</v>
      </c>
      <c r="C585" s="2">
        <v>102</v>
      </c>
      <c r="D585" s="12" t="s">
        <v>31</v>
      </c>
      <c r="E585" s="3">
        <v>45106</v>
      </c>
      <c r="F585" s="15">
        <v>99</v>
      </c>
      <c r="G585" s="18">
        <v>3.2</v>
      </c>
      <c r="H585" s="9">
        <f>IF(MONTH(Data!$E585)&lt;=6, YEAR(Data!$E585), YEAR(Data!$E585)+1)</f>
        <v>2023</v>
      </c>
      <c r="I585" s="9" t="str">
        <f>TEXT(Data!$E585,"DDDD")</f>
        <v>Thursday</v>
      </c>
      <c r="J585" s="9" t="s">
        <v>14</v>
      </c>
      <c r="K585" s="23">
        <f>ROUND(Data!$G585,0)</f>
        <v>3</v>
      </c>
    </row>
    <row r="586" spans="1:11" ht="14.25" customHeight="1" x14ac:dyDescent="0.3">
      <c r="A586" s="9" t="s">
        <v>620</v>
      </c>
      <c r="B586" s="9" t="s">
        <v>38</v>
      </c>
      <c r="C586" s="2">
        <v>60</v>
      </c>
      <c r="D586" s="12" t="s">
        <v>31</v>
      </c>
      <c r="E586" s="3">
        <v>45107</v>
      </c>
      <c r="F586" s="15">
        <v>66</v>
      </c>
      <c r="G586" s="18">
        <v>3.2</v>
      </c>
      <c r="H586" s="9">
        <f>IF(MONTH(Data!$E586)&lt;=6, YEAR(Data!$E586), YEAR(Data!$E586)+1)</f>
        <v>2023</v>
      </c>
      <c r="I586" s="9" t="str">
        <f>TEXT(Data!$E586,"DDDD")</f>
        <v>Friday</v>
      </c>
      <c r="J586" s="9" t="s">
        <v>27</v>
      </c>
      <c r="K586" s="23">
        <f>ROUND(Data!$G586,0)</f>
        <v>3</v>
      </c>
    </row>
    <row r="587" spans="1:11" ht="14.25" customHeight="1" x14ac:dyDescent="0.3">
      <c r="A587" s="9" t="s">
        <v>621</v>
      </c>
      <c r="B587" s="9" t="s">
        <v>21</v>
      </c>
      <c r="C587" s="2">
        <v>103</v>
      </c>
      <c r="D587" s="12" t="s">
        <v>31</v>
      </c>
      <c r="E587" s="3">
        <v>45107</v>
      </c>
      <c r="F587" s="15">
        <v>102</v>
      </c>
      <c r="G587" s="18">
        <v>4.5</v>
      </c>
      <c r="H587" s="9">
        <f>IF(MONTH(Data!$E587)&lt;=6, YEAR(Data!$E587), YEAR(Data!$E587)+1)</f>
        <v>2023</v>
      </c>
      <c r="I587" s="9" t="str">
        <f>TEXT(Data!$E587,"DDDD")</f>
        <v>Friday</v>
      </c>
      <c r="J587" s="9" t="s">
        <v>14</v>
      </c>
      <c r="K587" s="23">
        <f>ROUND(Data!$G587,0)</f>
        <v>5</v>
      </c>
    </row>
    <row r="588" spans="1:11" ht="14.25" customHeight="1" x14ac:dyDescent="0.3">
      <c r="A588" s="9" t="s">
        <v>622</v>
      </c>
      <c r="B588" s="9" t="s">
        <v>40</v>
      </c>
      <c r="C588" s="2">
        <v>90</v>
      </c>
      <c r="D588" s="12" t="s">
        <v>13</v>
      </c>
      <c r="E588" s="3">
        <v>45108</v>
      </c>
      <c r="F588" s="15">
        <v>129</v>
      </c>
      <c r="G588" s="18">
        <v>3.9</v>
      </c>
      <c r="H588" s="9">
        <f>IF(MONTH(Data!$E588)&lt;=6, YEAR(Data!$E588), YEAR(Data!$E588)+1)</f>
        <v>2024</v>
      </c>
      <c r="I588" s="9" t="str">
        <f>TEXT(Data!$E588,"DDDD")</f>
        <v>Saturday</v>
      </c>
      <c r="J588" s="9" t="s">
        <v>14</v>
      </c>
      <c r="K588" s="23">
        <f>ROUND(Data!$G588,0)</f>
        <v>4</v>
      </c>
    </row>
    <row r="589" spans="1:11" ht="14.25" customHeight="1" x14ac:dyDescent="0.3">
      <c r="A589" s="9" t="s">
        <v>623</v>
      </c>
      <c r="B589" s="9" t="s">
        <v>58</v>
      </c>
      <c r="C589" s="2">
        <v>88</v>
      </c>
      <c r="D589" s="12" t="s">
        <v>31</v>
      </c>
      <c r="E589" s="3">
        <v>45108</v>
      </c>
      <c r="F589" s="15">
        <v>80</v>
      </c>
      <c r="G589" s="18">
        <v>4.2</v>
      </c>
      <c r="H589" s="9">
        <f>IF(MONTH(Data!$E589)&lt;=6, YEAR(Data!$E589), YEAR(Data!$E589)+1)</f>
        <v>2024</v>
      </c>
      <c r="I589" s="9" t="str">
        <f>TEXT(Data!$E589,"DDDD")</f>
        <v>Saturday</v>
      </c>
      <c r="J589" s="9" t="s">
        <v>14</v>
      </c>
      <c r="K589" s="23">
        <f>ROUND(Data!$G589,0)</f>
        <v>4</v>
      </c>
    </row>
    <row r="590" spans="1:11" ht="14.25" customHeight="1" x14ac:dyDescent="0.3">
      <c r="A590" s="9" t="s">
        <v>624</v>
      </c>
      <c r="B590" s="9" t="s">
        <v>21</v>
      </c>
      <c r="C590" s="2">
        <v>37</v>
      </c>
      <c r="D590" s="12" t="s">
        <v>31</v>
      </c>
      <c r="E590" s="3">
        <v>45108</v>
      </c>
      <c r="F590" s="15">
        <v>54</v>
      </c>
      <c r="G590" s="18">
        <v>1.8</v>
      </c>
      <c r="H590" s="9">
        <f>IF(MONTH(Data!$E590)&lt;=6, YEAR(Data!$E590), YEAR(Data!$E590)+1)</f>
        <v>2024</v>
      </c>
      <c r="I590" s="9" t="str">
        <f>TEXT(Data!$E590,"DDDD")</f>
        <v>Saturday</v>
      </c>
      <c r="J590" s="9" t="s">
        <v>27</v>
      </c>
      <c r="K590" s="23">
        <f>ROUND(Data!$G590,0)</f>
        <v>2</v>
      </c>
    </row>
    <row r="591" spans="1:11" ht="14.25" customHeight="1" x14ac:dyDescent="0.3">
      <c r="A591" s="9" t="s">
        <v>625</v>
      </c>
      <c r="B591" s="9" t="s">
        <v>68</v>
      </c>
      <c r="C591" s="2">
        <v>142</v>
      </c>
      <c r="D591" s="12" t="s">
        <v>13</v>
      </c>
      <c r="E591" s="3">
        <v>45108</v>
      </c>
      <c r="F591" s="15">
        <v>116</v>
      </c>
      <c r="G591" s="18">
        <v>4.2</v>
      </c>
      <c r="H591" s="9">
        <f>IF(MONTH(Data!$E591)&lt;=6, YEAR(Data!$E591), YEAR(Data!$E591)+1)</f>
        <v>2024</v>
      </c>
      <c r="I591" s="9" t="str">
        <f>TEXT(Data!$E591,"DDDD")</f>
        <v>Saturday</v>
      </c>
      <c r="J591" s="9" t="s">
        <v>25</v>
      </c>
      <c r="K591" s="23">
        <f>ROUND(Data!$G591,0)</f>
        <v>4</v>
      </c>
    </row>
    <row r="592" spans="1:11" ht="14.25" customHeight="1" x14ac:dyDescent="0.3">
      <c r="A592" s="9" t="s">
        <v>626</v>
      </c>
      <c r="B592" s="9" t="s">
        <v>68</v>
      </c>
      <c r="C592" s="2">
        <v>153</v>
      </c>
      <c r="D592" s="12" t="s">
        <v>24</v>
      </c>
      <c r="E592" s="3">
        <v>45108</v>
      </c>
      <c r="F592" s="15">
        <v>102</v>
      </c>
      <c r="G592" s="18">
        <v>3.1</v>
      </c>
      <c r="H592" s="9">
        <f>IF(MONTH(Data!$E592)&lt;=6, YEAR(Data!$E592), YEAR(Data!$E592)+1)</f>
        <v>2024</v>
      </c>
      <c r="I592" s="9" t="str">
        <f>TEXT(Data!$E592,"DDDD")</f>
        <v>Saturday</v>
      </c>
      <c r="J592" s="9" t="s">
        <v>25</v>
      </c>
      <c r="K592" s="23">
        <f>ROUND(Data!$G592,0)</f>
        <v>3</v>
      </c>
    </row>
    <row r="593" spans="1:11" ht="14.25" customHeight="1" x14ac:dyDescent="0.3">
      <c r="A593" s="9" t="s">
        <v>627</v>
      </c>
      <c r="B593" s="9" t="s">
        <v>50</v>
      </c>
      <c r="C593" s="2">
        <v>128</v>
      </c>
      <c r="D593" s="12" t="s">
        <v>19</v>
      </c>
      <c r="E593" s="3">
        <v>45108</v>
      </c>
      <c r="F593" s="15">
        <v>140</v>
      </c>
      <c r="G593" s="18">
        <v>4.3</v>
      </c>
      <c r="H593" s="9">
        <f>IF(MONTH(Data!$E593)&lt;=6, YEAR(Data!$E593), YEAR(Data!$E593)+1)</f>
        <v>2024</v>
      </c>
      <c r="I593" s="9" t="str">
        <f>TEXT(Data!$E593,"DDDD")</f>
        <v>Saturday</v>
      </c>
      <c r="J593" s="9" t="s">
        <v>25</v>
      </c>
      <c r="K593" s="23">
        <f>ROUND(Data!$G593,0)</f>
        <v>4</v>
      </c>
    </row>
    <row r="594" spans="1:11" ht="14.25" customHeight="1" x14ac:dyDescent="0.3">
      <c r="A594" s="9" t="s">
        <v>628</v>
      </c>
      <c r="B594" s="9" t="s">
        <v>38</v>
      </c>
      <c r="C594" s="2">
        <v>110</v>
      </c>
      <c r="D594" s="12" t="s">
        <v>19</v>
      </c>
      <c r="E594" s="3">
        <v>45109</v>
      </c>
      <c r="F594" s="15">
        <v>104</v>
      </c>
      <c r="G594" s="18">
        <v>4.4000000000000004</v>
      </c>
      <c r="H594" s="9">
        <f>IF(MONTH(Data!$E594)&lt;=6, YEAR(Data!$E594), YEAR(Data!$E594)+1)</f>
        <v>2024</v>
      </c>
      <c r="I594" s="9" t="str">
        <f>TEXT(Data!$E594,"DDDD")</f>
        <v>Sunday</v>
      </c>
      <c r="J594" s="9" t="s">
        <v>14</v>
      </c>
      <c r="K594" s="23">
        <f>ROUND(Data!$G594,0)</f>
        <v>4</v>
      </c>
    </row>
    <row r="595" spans="1:11" ht="14.25" customHeight="1" x14ac:dyDescent="0.3">
      <c r="A595" s="9" t="s">
        <v>629</v>
      </c>
      <c r="B595" s="9" t="s">
        <v>50</v>
      </c>
      <c r="C595" s="2">
        <v>139</v>
      </c>
      <c r="D595" s="12" t="s">
        <v>31</v>
      </c>
      <c r="E595" s="3">
        <v>45109</v>
      </c>
      <c r="F595" s="15">
        <v>81</v>
      </c>
      <c r="G595" s="18">
        <v>4.4000000000000004</v>
      </c>
      <c r="H595" s="9">
        <f>IF(MONTH(Data!$E595)&lt;=6, YEAR(Data!$E595), YEAR(Data!$E595)+1)</f>
        <v>2024</v>
      </c>
      <c r="I595" s="9" t="str">
        <f>TEXT(Data!$E595,"DDDD")</f>
        <v>Sunday</v>
      </c>
      <c r="J595" s="9" t="s">
        <v>25</v>
      </c>
      <c r="K595" s="23">
        <f>ROUND(Data!$G595,0)</f>
        <v>4</v>
      </c>
    </row>
    <row r="596" spans="1:11" ht="14.25" customHeight="1" x14ac:dyDescent="0.3">
      <c r="A596" s="9" t="s">
        <v>630</v>
      </c>
      <c r="B596" s="9" t="s">
        <v>34</v>
      </c>
      <c r="C596" s="2">
        <v>109</v>
      </c>
      <c r="D596" s="12" t="s">
        <v>35</v>
      </c>
      <c r="E596" s="3">
        <v>45111</v>
      </c>
      <c r="F596" s="15">
        <v>140</v>
      </c>
      <c r="G596" s="18">
        <v>2.4</v>
      </c>
      <c r="H596" s="9">
        <f>IF(MONTH(Data!$E596)&lt;=6, YEAR(Data!$E596), YEAR(Data!$E596)+1)</f>
        <v>2024</v>
      </c>
      <c r="I596" s="9" t="str">
        <f>TEXT(Data!$E596,"DDDD")</f>
        <v>Tuesday</v>
      </c>
      <c r="J596" s="9" t="s">
        <v>14</v>
      </c>
      <c r="K596" s="23">
        <f>ROUND(Data!$G596,0)</f>
        <v>2</v>
      </c>
    </row>
    <row r="597" spans="1:11" ht="14.25" customHeight="1" x14ac:dyDescent="0.3">
      <c r="A597" s="9" t="s">
        <v>631</v>
      </c>
      <c r="B597" s="9" t="s">
        <v>16</v>
      </c>
      <c r="C597" s="2">
        <v>57</v>
      </c>
      <c r="D597" s="12" t="s">
        <v>13</v>
      </c>
      <c r="E597" s="3">
        <v>45112</v>
      </c>
      <c r="F597" s="15">
        <v>120</v>
      </c>
      <c r="G597" s="18">
        <v>3.5</v>
      </c>
      <c r="H597" s="9">
        <f>IF(MONTH(Data!$E597)&lt;=6, YEAR(Data!$E597), YEAR(Data!$E597)+1)</f>
        <v>2024</v>
      </c>
      <c r="I597" s="9" t="str">
        <f>TEXT(Data!$E597,"DDDD")</f>
        <v>Wednesday</v>
      </c>
      <c r="J597" s="9" t="s">
        <v>27</v>
      </c>
      <c r="K597" s="23">
        <f>ROUND(Data!$G597,0)</f>
        <v>4</v>
      </c>
    </row>
    <row r="598" spans="1:11" ht="14.25" customHeight="1" x14ac:dyDescent="0.3">
      <c r="A598" s="9" t="s">
        <v>632</v>
      </c>
      <c r="B598" s="9" t="s">
        <v>34</v>
      </c>
      <c r="C598" s="2">
        <v>68</v>
      </c>
      <c r="D598" s="12" t="s">
        <v>31</v>
      </c>
      <c r="E598" s="3">
        <v>45112</v>
      </c>
      <c r="F598" s="15">
        <v>41</v>
      </c>
      <c r="G598" s="18">
        <v>3.1</v>
      </c>
      <c r="H598" s="9">
        <f>IF(MONTH(Data!$E598)&lt;=6, YEAR(Data!$E598), YEAR(Data!$E598)+1)</f>
        <v>2024</v>
      </c>
      <c r="I598" s="9" t="str">
        <f>TEXT(Data!$E598,"DDDD")</f>
        <v>Wednesday</v>
      </c>
      <c r="J598" s="9" t="s">
        <v>14</v>
      </c>
      <c r="K598" s="23">
        <f>ROUND(Data!$G598,0)</f>
        <v>3</v>
      </c>
    </row>
    <row r="599" spans="1:11" ht="14.25" customHeight="1" x14ac:dyDescent="0.3">
      <c r="A599" s="9" t="s">
        <v>633</v>
      </c>
      <c r="B599" s="9" t="s">
        <v>23</v>
      </c>
      <c r="C599" s="2">
        <v>128</v>
      </c>
      <c r="D599" s="12" t="s">
        <v>31</v>
      </c>
      <c r="E599" s="3">
        <v>45112</v>
      </c>
      <c r="F599" s="15">
        <v>116</v>
      </c>
      <c r="G599" s="18">
        <v>2.2999999999999998</v>
      </c>
      <c r="H599" s="9">
        <f>IF(MONTH(Data!$E599)&lt;=6, YEAR(Data!$E599), YEAR(Data!$E599)+1)</f>
        <v>2024</v>
      </c>
      <c r="I599" s="9" t="str">
        <f>TEXT(Data!$E599,"DDDD")</f>
        <v>Wednesday</v>
      </c>
      <c r="J599" s="9" t="s">
        <v>25</v>
      </c>
      <c r="K599" s="23">
        <f>ROUND(Data!$G599,0)</f>
        <v>2</v>
      </c>
    </row>
    <row r="600" spans="1:11" ht="14.25" customHeight="1" x14ac:dyDescent="0.3">
      <c r="A600" s="9" t="s">
        <v>634</v>
      </c>
      <c r="B600" s="9" t="s">
        <v>12</v>
      </c>
      <c r="C600" s="2">
        <v>102</v>
      </c>
      <c r="D600" s="12" t="s">
        <v>13</v>
      </c>
      <c r="E600" s="3">
        <v>45113</v>
      </c>
      <c r="F600" s="15">
        <v>70</v>
      </c>
      <c r="G600" s="18">
        <v>2.8</v>
      </c>
      <c r="H600" s="9">
        <f>IF(MONTH(Data!$E600)&lt;=6, YEAR(Data!$E600), YEAR(Data!$E600)+1)</f>
        <v>2024</v>
      </c>
      <c r="I600" s="9" t="str">
        <f>TEXT(Data!$E600,"DDDD")</f>
        <v>Thursday</v>
      </c>
      <c r="J600" s="9" t="s">
        <v>14</v>
      </c>
      <c r="K600" s="23">
        <f>ROUND(Data!$G600,0)</f>
        <v>3</v>
      </c>
    </row>
    <row r="601" spans="1:11" ht="14.25" customHeight="1" x14ac:dyDescent="0.3">
      <c r="A601" s="9" t="s">
        <v>635</v>
      </c>
      <c r="B601" s="9" t="s">
        <v>50</v>
      </c>
      <c r="C601" s="2">
        <v>52</v>
      </c>
      <c r="D601" s="12" t="s">
        <v>24</v>
      </c>
      <c r="E601" s="3">
        <v>45113</v>
      </c>
      <c r="F601" s="15">
        <v>42</v>
      </c>
      <c r="G601" s="18">
        <v>4.5</v>
      </c>
      <c r="H601" s="9">
        <f>IF(MONTH(Data!$E601)&lt;=6, YEAR(Data!$E601), YEAR(Data!$E601)+1)</f>
        <v>2024</v>
      </c>
      <c r="I601" s="9" t="str">
        <f>TEXT(Data!$E601,"DDDD")</f>
        <v>Thursday</v>
      </c>
      <c r="J601" s="9" t="s">
        <v>27</v>
      </c>
      <c r="K601" s="23">
        <f>ROUND(Data!$G601,0)</f>
        <v>5</v>
      </c>
    </row>
    <row r="602" spans="1:11" ht="14.25" customHeight="1" x14ac:dyDescent="0.3">
      <c r="A602" s="9" t="s">
        <v>636</v>
      </c>
      <c r="B602" s="9" t="s">
        <v>23</v>
      </c>
      <c r="C602" s="2">
        <v>55</v>
      </c>
      <c r="D602" s="12" t="s">
        <v>19</v>
      </c>
      <c r="E602" s="3">
        <v>45114</v>
      </c>
      <c r="F602" s="15">
        <v>112</v>
      </c>
      <c r="G602" s="18">
        <v>4.5</v>
      </c>
      <c r="H602" s="9">
        <f>IF(MONTH(Data!$E602)&lt;=6, YEAR(Data!$E602), YEAR(Data!$E602)+1)</f>
        <v>2024</v>
      </c>
      <c r="I602" s="9" t="str">
        <f>TEXT(Data!$E602,"DDDD")</f>
        <v>Friday</v>
      </c>
      <c r="J602" s="9" t="s">
        <v>27</v>
      </c>
      <c r="K602" s="23">
        <f>ROUND(Data!$G602,0)</f>
        <v>5</v>
      </c>
    </row>
    <row r="603" spans="1:11" ht="14.25" customHeight="1" x14ac:dyDescent="0.3">
      <c r="A603" s="9" t="s">
        <v>637</v>
      </c>
      <c r="B603" s="9" t="s">
        <v>21</v>
      </c>
      <c r="C603" s="2">
        <v>107</v>
      </c>
      <c r="D603" s="12" t="s">
        <v>31</v>
      </c>
      <c r="E603" s="3">
        <v>45114</v>
      </c>
      <c r="F603" s="15">
        <v>20</v>
      </c>
      <c r="G603" s="18">
        <v>4.5</v>
      </c>
      <c r="H603" s="9">
        <f>IF(MONTH(Data!$E603)&lt;=6, YEAR(Data!$E603), YEAR(Data!$E603)+1)</f>
        <v>2024</v>
      </c>
      <c r="I603" s="9" t="str">
        <f>TEXT(Data!$E603,"DDDD")</f>
        <v>Friday</v>
      </c>
      <c r="J603" s="9" t="s">
        <v>14</v>
      </c>
      <c r="K603" s="23">
        <f>ROUND(Data!$G603,0)</f>
        <v>5</v>
      </c>
    </row>
    <row r="604" spans="1:11" ht="14.25" customHeight="1" x14ac:dyDescent="0.3">
      <c r="A604" s="9" t="s">
        <v>638</v>
      </c>
      <c r="B604" s="9" t="s">
        <v>40</v>
      </c>
      <c r="C604" s="2">
        <v>88</v>
      </c>
      <c r="D604" s="12" t="s">
        <v>24</v>
      </c>
      <c r="E604" s="3">
        <v>45115</v>
      </c>
      <c r="F604" s="15">
        <v>110</v>
      </c>
      <c r="G604" s="18">
        <v>4.8</v>
      </c>
      <c r="H604" s="9">
        <f>IF(MONTH(Data!$E604)&lt;=6, YEAR(Data!$E604), YEAR(Data!$E604)+1)</f>
        <v>2024</v>
      </c>
      <c r="I604" s="9" t="str">
        <f>TEXT(Data!$E604,"DDDD")</f>
        <v>Saturday</v>
      </c>
      <c r="J604" s="9" t="s">
        <v>14</v>
      </c>
      <c r="K604" s="23">
        <f>ROUND(Data!$G604,0)</f>
        <v>5</v>
      </c>
    </row>
    <row r="605" spans="1:11" ht="14.25" customHeight="1" x14ac:dyDescent="0.3">
      <c r="A605" s="9" t="s">
        <v>639</v>
      </c>
      <c r="B605" s="9" t="s">
        <v>29</v>
      </c>
      <c r="C605" s="2">
        <v>49</v>
      </c>
      <c r="D605" s="12" t="s">
        <v>24</v>
      </c>
      <c r="E605" s="3">
        <v>45115</v>
      </c>
      <c r="F605" s="15">
        <v>39</v>
      </c>
      <c r="G605" s="18">
        <v>4.5999999999999996</v>
      </c>
      <c r="H605" s="9">
        <f>IF(MONTH(Data!$E605)&lt;=6, YEAR(Data!$E605), YEAR(Data!$E605)+1)</f>
        <v>2024</v>
      </c>
      <c r="I605" s="9" t="str">
        <f>TEXT(Data!$E605,"DDDD")</f>
        <v>Saturday</v>
      </c>
      <c r="J605" s="9" t="s">
        <v>27</v>
      </c>
      <c r="K605" s="23">
        <f>ROUND(Data!$G605,0)</f>
        <v>5</v>
      </c>
    </row>
    <row r="606" spans="1:11" ht="14.25" customHeight="1" x14ac:dyDescent="0.3">
      <c r="A606" s="9" t="s">
        <v>640</v>
      </c>
      <c r="B606" s="9" t="s">
        <v>40</v>
      </c>
      <c r="C606" s="2">
        <v>72</v>
      </c>
      <c r="D606" s="12" t="s">
        <v>13</v>
      </c>
      <c r="E606" s="3">
        <v>45115</v>
      </c>
      <c r="F606" s="15">
        <v>76</v>
      </c>
      <c r="G606" s="18">
        <v>4.5</v>
      </c>
      <c r="H606" s="9">
        <f>IF(MONTH(Data!$E606)&lt;=6, YEAR(Data!$E606), YEAR(Data!$E606)+1)</f>
        <v>2024</v>
      </c>
      <c r="I606" s="9" t="str">
        <f>TEXT(Data!$E606,"DDDD")</f>
        <v>Saturday</v>
      </c>
      <c r="J606" s="9" t="s">
        <v>14</v>
      </c>
      <c r="K606" s="23">
        <f>ROUND(Data!$G606,0)</f>
        <v>5</v>
      </c>
    </row>
    <row r="607" spans="1:11" ht="14.25" customHeight="1" x14ac:dyDescent="0.3">
      <c r="A607" s="9" t="s">
        <v>641</v>
      </c>
      <c r="B607" s="9" t="s">
        <v>16</v>
      </c>
      <c r="C607" s="2">
        <v>50</v>
      </c>
      <c r="D607" s="12" t="s">
        <v>13</v>
      </c>
      <c r="E607" s="3">
        <v>45115</v>
      </c>
      <c r="F607" s="15">
        <v>40</v>
      </c>
      <c r="G607" s="18">
        <v>5</v>
      </c>
      <c r="H607" s="9">
        <f>IF(MONTH(Data!$E607)&lt;=6, YEAR(Data!$E607), YEAR(Data!$E607)+1)</f>
        <v>2024</v>
      </c>
      <c r="I607" s="9" t="str">
        <f>TEXT(Data!$E607,"DDDD")</f>
        <v>Saturday</v>
      </c>
      <c r="J607" s="9" t="s">
        <v>27</v>
      </c>
      <c r="K607" s="23">
        <f>ROUND(Data!$G607,0)</f>
        <v>5</v>
      </c>
    </row>
    <row r="608" spans="1:11" ht="14.25" customHeight="1" x14ac:dyDescent="0.3">
      <c r="A608" s="9" t="s">
        <v>642</v>
      </c>
      <c r="B608" s="9" t="s">
        <v>40</v>
      </c>
      <c r="C608" s="2">
        <v>52</v>
      </c>
      <c r="D608" s="12" t="s">
        <v>31</v>
      </c>
      <c r="E608" s="3">
        <v>45115</v>
      </c>
      <c r="F608" s="15">
        <v>42</v>
      </c>
      <c r="G608" s="18">
        <v>4.8</v>
      </c>
      <c r="H608" s="9">
        <f>IF(MONTH(Data!$E608)&lt;=6, YEAR(Data!$E608), YEAR(Data!$E608)+1)</f>
        <v>2024</v>
      </c>
      <c r="I608" s="9" t="str">
        <f>TEXT(Data!$E608,"DDDD")</f>
        <v>Saturday</v>
      </c>
      <c r="J608" s="9" t="s">
        <v>27</v>
      </c>
      <c r="K608" s="23">
        <f>ROUND(Data!$G608,0)</f>
        <v>5</v>
      </c>
    </row>
    <row r="609" spans="1:11" ht="14.25" customHeight="1" x14ac:dyDescent="0.3">
      <c r="A609" s="9" t="s">
        <v>643</v>
      </c>
      <c r="B609" s="9" t="s">
        <v>18</v>
      </c>
      <c r="C609" s="2">
        <v>85</v>
      </c>
      <c r="D609" s="12" t="s">
        <v>35</v>
      </c>
      <c r="E609" s="3">
        <v>45116</v>
      </c>
      <c r="F609" s="15">
        <v>215</v>
      </c>
      <c r="G609" s="18">
        <v>3.5</v>
      </c>
      <c r="H609" s="9">
        <f>IF(MONTH(Data!$E609)&lt;=6, YEAR(Data!$E609), YEAR(Data!$E609)+1)</f>
        <v>2024</v>
      </c>
      <c r="I609" s="9" t="str">
        <f>TEXT(Data!$E609,"DDDD")</f>
        <v>Sunday</v>
      </c>
      <c r="J609" s="9" t="s">
        <v>14</v>
      </c>
      <c r="K609" s="23">
        <f>ROUND(Data!$G609,0)</f>
        <v>4</v>
      </c>
    </row>
    <row r="610" spans="1:11" ht="14.25" customHeight="1" x14ac:dyDescent="0.3">
      <c r="A610" s="9" t="s">
        <v>644</v>
      </c>
      <c r="B610" s="9" t="s">
        <v>46</v>
      </c>
      <c r="C610" s="2">
        <v>98</v>
      </c>
      <c r="D610" s="12" t="s">
        <v>35</v>
      </c>
      <c r="E610" s="3">
        <v>45117</v>
      </c>
      <c r="F610" s="15">
        <v>130</v>
      </c>
      <c r="G610" s="18">
        <v>3.4</v>
      </c>
      <c r="H610" s="9">
        <f>IF(MONTH(Data!$E610)&lt;=6, YEAR(Data!$E610), YEAR(Data!$E610)+1)</f>
        <v>2024</v>
      </c>
      <c r="I610" s="9" t="str">
        <f>TEXT(Data!$E610,"DDDD")</f>
        <v>Monday</v>
      </c>
      <c r="J610" s="9" t="s">
        <v>14</v>
      </c>
      <c r="K610" s="23">
        <f>ROUND(Data!$G610,0)</f>
        <v>3</v>
      </c>
    </row>
    <row r="611" spans="1:11" ht="14.25" customHeight="1" x14ac:dyDescent="0.3">
      <c r="A611" s="9" t="s">
        <v>645</v>
      </c>
      <c r="B611" s="9" t="s">
        <v>55</v>
      </c>
      <c r="C611" s="2">
        <v>52</v>
      </c>
      <c r="D611" s="12" t="s">
        <v>35</v>
      </c>
      <c r="E611" s="3">
        <v>45117</v>
      </c>
      <c r="F611" s="15">
        <v>190</v>
      </c>
      <c r="G611" s="18">
        <v>3.3</v>
      </c>
      <c r="H611" s="9">
        <f>IF(MONTH(Data!$E611)&lt;=6, YEAR(Data!$E611), YEAR(Data!$E611)+1)</f>
        <v>2024</v>
      </c>
      <c r="I611" s="9" t="str">
        <f>TEXT(Data!$E611,"DDDD")</f>
        <v>Monday</v>
      </c>
      <c r="J611" s="9" t="s">
        <v>27</v>
      </c>
      <c r="K611" s="23">
        <f>ROUND(Data!$G611,0)</f>
        <v>3</v>
      </c>
    </row>
    <row r="612" spans="1:11" ht="14.25" customHeight="1" x14ac:dyDescent="0.3">
      <c r="A612" s="9" t="s">
        <v>646</v>
      </c>
      <c r="B612" s="9" t="s">
        <v>23</v>
      </c>
      <c r="C612" s="2">
        <v>154</v>
      </c>
      <c r="D612" s="12" t="s">
        <v>24</v>
      </c>
      <c r="E612" s="3">
        <v>45117</v>
      </c>
      <c r="F612" s="15">
        <v>164</v>
      </c>
      <c r="G612" s="18">
        <v>4.9000000000000004</v>
      </c>
      <c r="H612" s="9">
        <f>IF(MONTH(Data!$E612)&lt;=6, YEAR(Data!$E612), YEAR(Data!$E612)+1)</f>
        <v>2024</v>
      </c>
      <c r="I612" s="9" t="str">
        <f>TEXT(Data!$E612,"DDDD")</f>
        <v>Monday</v>
      </c>
      <c r="J612" s="9" t="s">
        <v>25</v>
      </c>
      <c r="K612" s="23">
        <f>ROUND(Data!$G612,0)</f>
        <v>5</v>
      </c>
    </row>
    <row r="613" spans="1:11" ht="14.25" customHeight="1" x14ac:dyDescent="0.3">
      <c r="A613" s="9" t="s">
        <v>647</v>
      </c>
      <c r="B613" s="9" t="s">
        <v>88</v>
      </c>
      <c r="C613" s="2">
        <v>131</v>
      </c>
      <c r="D613" s="12" t="s">
        <v>19</v>
      </c>
      <c r="E613" s="3">
        <v>45118</v>
      </c>
      <c r="F613" s="15">
        <v>76</v>
      </c>
      <c r="G613" s="18">
        <v>4.5</v>
      </c>
      <c r="H613" s="9">
        <f>IF(MONTH(Data!$E613)&lt;=6, YEAR(Data!$E613), YEAR(Data!$E613)+1)</f>
        <v>2024</v>
      </c>
      <c r="I613" s="9" t="str">
        <f>TEXT(Data!$E613,"DDDD")</f>
        <v>Tuesday</v>
      </c>
      <c r="J613" s="9" t="s">
        <v>25</v>
      </c>
      <c r="K613" s="23">
        <f>ROUND(Data!$G613,0)</f>
        <v>5</v>
      </c>
    </row>
    <row r="614" spans="1:11" ht="14.25" customHeight="1" x14ac:dyDescent="0.3">
      <c r="A614" s="9" t="s">
        <v>648</v>
      </c>
      <c r="B614" s="9" t="s">
        <v>18</v>
      </c>
      <c r="C614" s="2">
        <v>73</v>
      </c>
      <c r="D614" s="12" t="s">
        <v>19</v>
      </c>
      <c r="E614" s="3">
        <v>45119</v>
      </c>
      <c r="F614" s="15">
        <v>87</v>
      </c>
      <c r="G614" s="18">
        <v>4.8</v>
      </c>
      <c r="H614" s="9">
        <f>IF(MONTH(Data!$E614)&lt;=6, YEAR(Data!$E614), YEAR(Data!$E614)+1)</f>
        <v>2024</v>
      </c>
      <c r="I614" s="9" t="str">
        <f>TEXT(Data!$E614,"DDDD")</f>
        <v>Wednesday</v>
      </c>
      <c r="J614" s="9" t="s">
        <v>14</v>
      </c>
      <c r="K614" s="23">
        <f>ROUND(Data!$G614,0)</f>
        <v>5</v>
      </c>
    </row>
    <row r="615" spans="1:11" ht="14.25" customHeight="1" x14ac:dyDescent="0.3">
      <c r="A615" s="9" t="s">
        <v>649</v>
      </c>
      <c r="B615" s="9" t="s">
        <v>38</v>
      </c>
      <c r="C615" s="2">
        <v>45</v>
      </c>
      <c r="D615" s="12" t="s">
        <v>35</v>
      </c>
      <c r="E615" s="3">
        <v>45119</v>
      </c>
      <c r="F615" s="15">
        <v>84</v>
      </c>
      <c r="G615" s="18">
        <v>4.8</v>
      </c>
      <c r="H615" s="9">
        <f>IF(MONTH(Data!$E615)&lt;=6, YEAR(Data!$E615), YEAR(Data!$E615)+1)</f>
        <v>2024</v>
      </c>
      <c r="I615" s="9" t="str">
        <f>TEXT(Data!$E615,"DDDD")</f>
        <v>Wednesday</v>
      </c>
      <c r="J615" s="9" t="s">
        <v>27</v>
      </c>
      <c r="K615" s="23">
        <f>ROUND(Data!$G615,0)</f>
        <v>5</v>
      </c>
    </row>
    <row r="616" spans="1:11" ht="14.25" customHeight="1" x14ac:dyDescent="0.3">
      <c r="A616" s="9" t="s">
        <v>650</v>
      </c>
      <c r="B616" s="9" t="s">
        <v>50</v>
      </c>
      <c r="C616" s="2">
        <v>114</v>
      </c>
      <c r="D616" s="12" t="s">
        <v>31</v>
      </c>
      <c r="E616" s="3">
        <v>45119</v>
      </c>
      <c r="F616" s="15">
        <v>114</v>
      </c>
      <c r="G616" s="18">
        <v>3.9</v>
      </c>
      <c r="H616" s="9">
        <f>IF(MONTH(Data!$E616)&lt;=6, YEAR(Data!$E616), YEAR(Data!$E616)+1)</f>
        <v>2024</v>
      </c>
      <c r="I616" s="9" t="str">
        <f>TEXT(Data!$E616,"DDDD")</f>
        <v>Wednesday</v>
      </c>
      <c r="J616" s="9" t="s">
        <v>14</v>
      </c>
      <c r="K616" s="23">
        <f>ROUND(Data!$G616,0)</f>
        <v>4</v>
      </c>
    </row>
    <row r="617" spans="1:11" ht="14.25" customHeight="1" x14ac:dyDescent="0.3">
      <c r="A617" s="9" t="s">
        <v>651</v>
      </c>
      <c r="B617" s="9" t="s">
        <v>46</v>
      </c>
      <c r="C617" s="2">
        <v>69</v>
      </c>
      <c r="D617" s="12" t="s">
        <v>19</v>
      </c>
      <c r="E617" s="3">
        <v>45120</v>
      </c>
      <c r="F617" s="15">
        <v>56</v>
      </c>
      <c r="G617" s="18">
        <v>3.9</v>
      </c>
      <c r="H617" s="9">
        <f>IF(MONTH(Data!$E617)&lt;=6, YEAR(Data!$E617), YEAR(Data!$E617)+1)</f>
        <v>2024</v>
      </c>
      <c r="I617" s="9" t="str">
        <f>TEXT(Data!$E617,"DDDD")</f>
        <v>Thursday</v>
      </c>
      <c r="J617" s="9" t="s">
        <v>14</v>
      </c>
      <c r="K617" s="23">
        <f>ROUND(Data!$G617,0)</f>
        <v>4</v>
      </c>
    </row>
    <row r="618" spans="1:11" ht="14.25" customHeight="1" x14ac:dyDescent="0.3">
      <c r="A618" s="9" t="s">
        <v>652</v>
      </c>
      <c r="B618" s="9" t="s">
        <v>88</v>
      </c>
      <c r="C618" s="2">
        <v>33</v>
      </c>
      <c r="D618" s="12" t="s">
        <v>24</v>
      </c>
      <c r="E618" s="3">
        <v>45120</v>
      </c>
      <c r="F618" s="15">
        <v>27</v>
      </c>
      <c r="G618" s="18">
        <v>3.7</v>
      </c>
      <c r="H618" s="9">
        <f>IF(MONTH(Data!$E618)&lt;=6, YEAR(Data!$E618), YEAR(Data!$E618)+1)</f>
        <v>2024</v>
      </c>
      <c r="I618" s="9" t="str">
        <f>TEXT(Data!$E618,"DDDD")</f>
        <v>Thursday</v>
      </c>
      <c r="J618" s="9" t="s">
        <v>27</v>
      </c>
      <c r="K618" s="23">
        <f>ROUND(Data!$G618,0)</f>
        <v>4</v>
      </c>
    </row>
    <row r="619" spans="1:11" ht="14.25" customHeight="1" x14ac:dyDescent="0.3">
      <c r="A619" s="9" t="s">
        <v>653</v>
      </c>
      <c r="B619" s="9" t="s">
        <v>16</v>
      </c>
      <c r="C619" s="2">
        <v>31</v>
      </c>
      <c r="D619" s="12" t="s">
        <v>13</v>
      </c>
      <c r="E619" s="3">
        <v>45121</v>
      </c>
      <c r="F619" s="15">
        <v>84</v>
      </c>
      <c r="G619" s="18">
        <v>4.8</v>
      </c>
      <c r="H619" s="9">
        <f>IF(MONTH(Data!$E619)&lt;=6, YEAR(Data!$E619), YEAR(Data!$E619)+1)</f>
        <v>2024</v>
      </c>
      <c r="I619" s="9" t="str">
        <f>TEXT(Data!$E619,"DDDD")</f>
        <v>Friday</v>
      </c>
      <c r="J619" s="9" t="s">
        <v>27</v>
      </c>
      <c r="K619" s="23">
        <f>ROUND(Data!$G619,0)</f>
        <v>5</v>
      </c>
    </row>
    <row r="620" spans="1:11" ht="14.25" customHeight="1" x14ac:dyDescent="0.3">
      <c r="A620" s="9" t="s">
        <v>654</v>
      </c>
      <c r="B620" s="9" t="s">
        <v>38</v>
      </c>
      <c r="C620" s="2">
        <v>168</v>
      </c>
      <c r="D620" s="12" t="s">
        <v>24</v>
      </c>
      <c r="E620" s="3">
        <v>45121</v>
      </c>
      <c r="F620" s="15">
        <v>72</v>
      </c>
      <c r="G620" s="18">
        <v>3.5</v>
      </c>
      <c r="H620" s="9">
        <f>IF(MONTH(Data!$E620)&lt;=6, YEAR(Data!$E620), YEAR(Data!$E620)+1)</f>
        <v>2024</v>
      </c>
      <c r="I620" s="9" t="str">
        <f>TEXT(Data!$E620,"DDDD")</f>
        <v>Friday</v>
      </c>
      <c r="J620" s="9" t="s">
        <v>25</v>
      </c>
      <c r="K620" s="23">
        <f>ROUND(Data!$G620,0)</f>
        <v>4</v>
      </c>
    </row>
    <row r="621" spans="1:11" ht="14.25" customHeight="1" x14ac:dyDescent="0.3">
      <c r="A621" s="9" t="s">
        <v>655</v>
      </c>
      <c r="B621" s="9" t="s">
        <v>18</v>
      </c>
      <c r="C621" s="2">
        <v>111</v>
      </c>
      <c r="D621" s="12" t="s">
        <v>31</v>
      </c>
      <c r="E621" s="3">
        <v>45122</v>
      </c>
      <c r="F621" s="15">
        <v>126</v>
      </c>
      <c r="G621" s="18">
        <v>4.2</v>
      </c>
      <c r="H621" s="9">
        <f>IF(MONTH(Data!$E621)&lt;=6, YEAR(Data!$E621), YEAR(Data!$E621)+1)</f>
        <v>2024</v>
      </c>
      <c r="I621" s="9" t="str">
        <f>TEXT(Data!$E621,"DDDD")</f>
        <v>Saturday</v>
      </c>
      <c r="J621" s="9" t="s">
        <v>14</v>
      </c>
      <c r="K621" s="23">
        <f>ROUND(Data!$G621,0)</f>
        <v>4</v>
      </c>
    </row>
    <row r="622" spans="1:11" ht="14.25" customHeight="1" x14ac:dyDescent="0.3">
      <c r="A622" s="9" t="s">
        <v>656</v>
      </c>
      <c r="B622" s="9" t="s">
        <v>16</v>
      </c>
      <c r="C622" s="2">
        <v>80</v>
      </c>
      <c r="D622" s="12" t="s">
        <v>24</v>
      </c>
      <c r="E622" s="3">
        <v>45123</v>
      </c>
      <c r="F622" s="15">
        <v>88</v>
      </c>
      <c r="G622" s="18">
        <v>4.9000000000000004</v>
      </c>
      <c r="H622" s="9">
        <f>IF(MONTH(Data!$E622)&lt;=6, YEAR(Data!$E622), YEAR(Data!$E622)+1)</f>
        <v>2024</v>
      </c>
      <c r="I622" s="9" t="str">
        <f>TEXT(Data!$E622,"DDDD")</f>
        <v>Sunday</v>
      </c>
      <c r="J622" s="9" t="s">
        <v>14</v>
      </c>
      <c r="K622" s="23">
        <f>ROUND(Data!$G622,0)</f>
        <v>5</v>
      </c>
    </row>
    <row r="623" spans="1:11" ht="14.25" customHeight="1" x14ac:dyDescent="0.3">
      <c r="A623" s="9" t="s">
        <v>657</v>
      </c>
      <c r="B623" s="9" t="s">
        <v>12</v>
      </c>
      <c r="C623" s="2">
        <v>37</v>
      </c>
      <c r="D623" s="12" t="s">
        <v>24</v>
      </c>
      <c r="E623" s="3">
        <v>45123</v>
      </c>
      <c r="F623" s="15">
        <v>124</v>
      </c>
      <c r="G623" s="18">
        <v>4.5999999999999996</v>
      </c>
      <c r="H623" s="9">
        <f>IF(MONTH(Data!$E623)&lt;=6, YEAR(Data!$E623), YEAR(Data!$E623)+1)</f>
        <v>2024</v>
      </c>
      <c r="I623" s="9" t="str">
        <f>TEXT(Data!$E623,"DDDD")</f>
        <v>Sunday</v>
      </c>
      <c r="J623" s="9" t="s">
        <v>27</v>
      </c>
      <c r="K623" s="23">
        <f>ROUND(Data!$G623,0)</f>
        <v>5</v>
      </c>
    </row>
    <row r="624" spans="1:11" ht="14.25" customHeight="1" x14ac:dyDescent="0.3">
      <c r="A624" s="9" t="s">
        <v>658</v>
      </c>
      <c r="B624" s="9" t="s">
        <v>68</v>
      </c>
      <c r="C624" s="2">
        <v>137</v>
      </c>
      <c r="D624" s="12" t="s">
        <v>24</v>
      </c>
      <c r="E624" s="3">
        <v>45124</v>
      </c>
      <c r="F624" s="15">
        <v>84</v>
      </c>
      <c r="G624" s="18">
        <v>2.6</v>
      </c>
      <c r="H624" s="9">
        <f>IF(MONTH(Data!$E624)&lt;=6, YEAR(Data!$E624), YEAR(Data!$E624)+1)</f>
        <v>2024</v>
      </c>
      <c r="I624" s="9" t="str">
        <f>TEXT(Data!$E624,"DDDD")</f>
        <v>Monday</v>
      </c>
      <c r="J624" s="9" t="s">
        <v>25</v>
      </c>
      <c r="K624" s="23">
        <f>ROUND(Data!$G624,0)</f>
        <v>3</v>
      </c>
    </row>
    <row r="625" spans="1:11" ht="14.25" customHeight="1" x14ac:dyDescent="0.3">
      <c r="A625" s="9" t="s">
        <v>659</v>
      </c>
      <c r="B625" s="9" t="s">
        <v>46</v>
      </c>
      <c r="C625" s="2">
        <v>123</v>
      </c>
      <c r="D625" s="12" t="s">
        <v>31</v>
      </c>
      <c r="E625" s="3">
        <v>45124</v>
      </c>
      <c r="F625" s="15">
        <v>80</v>
      </c>
      <c r="G625" s="18">
        <v>2.7</v>
      </c>
      <c r="H625" s="9">
        <f>IF(MONTH(Data!$E625)&lt;=6, YEAR(Data!$E625), YEAR(Data!$E625)+1)</f>
        <v>2024</v>
      </c>
      <c r="I625" s="9" t="str">
        <f>TEXT(Data!$E625,"DDDD")</f>
        <v>Monday</v>
      </c>
      <c r="J625" s="9" t="s">
        <v>25</v>
      </c>
      <c r="K625" s="23">
        <f>ROUND(Data!$G625,0)</f>
        <v>3</v>
      </c>
    </row>
    <row r="626" spans="1:11" ht="14.25" customHeight="1" x14ac:dyDescent="0.3">
      <c r="A626" s="9" t="s">
        <v>660</v>
      </c>
      <c r="B626" s="9" t="s">
        <v>58</v>
      </c>
      <c r="C626" s="2">
        <v>105</v>
      </c>
      <c r="D626" s="12" t="s">
        <v>31</v>
      </c>
      <c r="E626" s="3">
        <v>45125</v>
      </c>
      <c r="F626" s="15">
        <v>176</v>
      </c>
      <c r="G626" s="18">
        <v>4.7</v>
      </c>
      <c r="H626" s="9">
        <f>IF(MONTH(Data!$E626)&lt;=6, YEAR(Data!$E626), YEAR(Data!$E626)+1)</f>
        <v>2024</v>
      </c>
      <c r="I626" s="9" t="str">
        <f>TEXT(Data!$E626,"DDDD")</f>
        <v>Tuesday</v>
      </c>
      <c r="J626" s="9" t="s">
        <v>14</v>
      </c>
      <c r="K626" s="23">
        <f>ROUND(Data!$G626,0)</f>
        <v>5</v>
      </c>
    </row>
    <row r="627" spans="1:11" ht="14.25" customHeight="1" x14ac:dyDescent="0.3">
      <c r="A627" s="9" t="s">
        <v>661</v>
      </c>
      <c r="B627" s="9" t="s">
        <v>12</v>
      </c>
      <c r="C627" s="2">
        <v>76</v>
      </c>
      <c r="D627" s="12" t="s">
        <v>35</v>
      </c>
      <c r="E627" s="3">
        <v>45126</v>
      </c>
      <c r="F627" s="15">
        <v>84</v>
      </c>
      <c r="G627" s="18">
        <v>3.9</v>
      </c>
      <c r="H627" s="9">
        <f>IF(MONTH(Data!$E627)&lt;=6, YEAR(Data!$E627), YEAR(Data!$E627)+1)</f>
        <v>2024</v>
      </c>
      <c r="I627" s="9" t="str">
        <f>TEXT(Data!$E627,"DDDD")</f>
        <v>Wednesday</v>
      </c>
      <c r="J627" s="9" t="s">
        <v>14</v>
      </c>
      <c r="K627" s="23">
        <f>ROUND(Data!$G627,0)</f>
        <v>4</v>
      </c>
    </row>
    <row r="628" spans="1:11" ht="14.25" customHeight="1" x14ac:dyDescent="0.3">
      <c r="A628" s="9" t="s">
        <v>662</v>
      </c>
      <c r="B628" s="9" t="s">
        <v>16</v>
      </c>
      <c r="C628" s="2">
        <v>144</v>
      </c>
      <c r="D628" s="12" t="s">
        <v>35</v>
      </c>
      <c r="E628" s="3">
        <v>45126</v>
      </c>
      <c r="F628" s="15">
        <v>164</v>
      </c>
      <c r="G628" s="18">
        <v>2.8</v>
      </c>
      <c r="H628" s="9">
        <f>IF(MONTH(Data!$E628)&lt;=6, YEAR(Data!$E628), YEAR(Data!$E628)+1)</f>
        <v>2024</v>
      </c>
      <c r="I628" s="9" t="str">
        <f>TEXT(Data!$E628,"DDDD")</f>
        <v>Wednesday</v>
      </c>
      <c r="J628" s="9" t="s">
        <v>25</v>
      </c>
      <c r="K628" s="23">
        <f>ROUND(Data!$G628,0)</f>
        <v>3</v>
      </c>
    </row>
    <row r="629" spans="1:11" ht="14.25" customHeight="1" x14ac:dyDescent="0.3">
      <c r="A629" s="9" t="s">
        <v>663</v>
      </c>
      <c r="B629" s="9" t="s">
        <v>88</v>
      </c>
      <c r="C629" s="2">
        <v>109</v>
      </c>
      <c r="D629" s="12" t="s">
        <v>13</v>
      </c>
      <c r="E629" s="3">
        <v>45126</v>
      </c>
      <c r="F629" s="15">
        <v>132</v>
      </c>
      <c r="G629" s="18">
        <v>3.1</v>
      </c>
      <c r="H629" s="9">
        <f>IF(MONTH(Data!$E629)&lt;=6, YEAR(Data!$E629), YEAR(Data!$E629)+1)</f>
        <v>2024</v>
      </c>
      <c r="I629" s="9" t="str">
        <f>TEXT(Data!$E629,"DDDD")</f>
        <v>Wednesday</v>
      </c>
      <c r="J629" s="9" t="s">
        <v>14</v>
      </c>
      <c r="K629" s="23">
        <f>ROUND(Data!$G629,0)</f>
        <v>3</v>
      </c>
    </row>
    <row r="630" spans="1:11" ht="14.25" customHeight="1" x14ac:dyDescent="0.3">
      <c r="A630" s="9" t="s">
        <v>664</v>
      </c>
      <c r="B630" s="9" t="s">
        <v>46</v>
      </c>
      <c r="C630" s="2">
        <v>172</v>
      </c>
      <c r="D630" s="12" t="s">
        <v>24</v>
      </c>
      <c r="E630" s="3">
        <v>45127</v>
      </c>
      <c r="F630" s="15">
        <v>27</v>
      </c>
      <c r="G630" s="18">
        <v>4.2</v>
      </c>
      <c r="H630" s="9">
        <f>IF(MONTH(Data!$E630)&lt;=6, YEAR(Data!$E630), YEAR(Data!$E630)+1)</f>
        <v>2024</v>
      </c>
      <c r="I630" s="9" t="str">
        <f>TEXT(Data!$E630,"DDDD")</f>
        <v>Thursday</v>
      </c>
      <c r="J630" s="9" t="s">
        <v>25</v>
      </c>
      <c r="K630" s="23">
        <f>ROUND(Data!$G630,0)</f>
        <v>4</v>
      </c>
    </row>
    <row r="631" spans="1:11" ht="14.25" customHeight="1" x14ac:dyDescent="0.3">
      <c r="A631" s="9" t="s">
        <v>665</v>
      </c>
      <c r="B631" s="9" t="s">
        <v>16</v>
      </c>
      <c r="C631" s="2">
        <v>56</v>
      </c>
      <c r="D631" s="12" t="s">
        <v>31</v>
      </c>
      <c r="E631" s="3">
        <v>45127</v>
      </c>
      <c r="F631" s="15">
        <v>27</v>
      </c>
      <c r="G631" s="18">
        <v>4.3</v>
      </c>
      <c r="H631" s="9">
        <f>IF(MONTH(Data!$E631)&lt;=6, YEAR(Data!$E631), YEAR(Data!$E631)+1)</f>
        <v>2024</v>
      </c>
      <c r="I631" s="9" t="str">
        <f>TEXT(Data!$E631,"DDDD")</f>
        <v>Thursday</v>
      </c>
      <c r="J631" s="9" t="s">
        <v>27</v>
      </c>
      <c r="K631" s="23">
        <f>ROUND(Data!$G631,0)</f>
        <v>4</v>
      </c>
    </row>
    <row r="632" spans="1:11" ht="14.25" customHeight="1" x14ac:dyDescent="0.3">
      <c r="A632" s="9" t="s">
        <v>666</v>
      </c>
      <c r="B632" s="9" t="s">
        <v>16</v>
      </c>
      <c r="C632" s="2">
        <v>121</v>
      </c>
      <c r="D632" s="12" t="s">
        <v>19</v>
      </c>
      <c r="E632" s="3">
        <v>45127</v>
      </c>
      <c r="F632" s="15">
        <v>20</v>
      </c>
      <c r="G632" s="18">
        <v>2.7</v>
      </c>
      <c r="H632" s="9">
        <f>IF(MONTH(Data!$E632)&lt;=6, YEAR(Data!$E632), YEAR(Data!$E632)+1)</f>
        <v>2024</v>
      </c>
      <c r="I632" s="9" t="str">
        <f>TEXT(Data!$E632,"DDDD")</f>
        <v>Thursday</v>
      </c>
      <c r="J632" s="9" t="s">
        <v>25</v>
      </c>
      <c r="K632" s="23">
        <f>ROUND(Data!$G632,0)</f>
        <v>3</v>
      </c>
    </row>
    <row r="633" spans="1:11" ht="14.25" customHeight="1" x14ac:dyDescent="0.3">
      <c r="A633" s="9" t="s">
        <v>667</v>
      </c>
      <c r="B633" s="9" t="s">
        <v>46</v>
      </c>
      <c r="C633" s="2">
        <v>41</v>
      </c>
      <c r="D633" s="12" t="s">
        <v>31</v>
      </c>
      <c r="E633" s="3">
        <v>45128</v>
      </c>
      <c r="F633" s="15">
        <v>112</v>
      </c>
      <c r="G633" s="18">
        <v>2.2999999999999998</v>
      </c>
      <c r="H633" s="9">
        <f>IF(MONTH(Data!$E633)&lt;=6, YEAR(Data!$E633), YEAR(Data!$E633)+1)</f>
        <v>2024</v>
      </c>
      <c r="I633" s="9" t="str">
        <f>TEXT(Data!$E633,"DDDD")</f>
        <v>Friday</v>
      </c>
      <c r="J633" s="9" t="s">
        <v>27</v>
      </c>
      <c r="K633" s="23">
        <f>ROUND(Data!$G633,0)</f>
        <v>2</v>
      </c>
    </row>
    <row r="634" spans="1:11" ht="14.25" customHeight="1" x14ac:dyDescent="0.3">
      <c r="A634" s="9" t="s">
        <v>668</v>
      </c>
      <c r="B634" s="9" t="s">
        <v>21</v>
      </c>
      <c r="C634" s="2">
        <v>60</v>
      </c>
      <c r="D634" s="12" t="s">
        <v>24</v>
      </c>
      <c r="E634" s="3">
        <v>45128</v>
      </c>
      <c r="F634" s="15">
        <v>60</v>
      </c>
      <c r="G634" s="18">
        <v>2.2999999999999998</v>
      </c>
      <c r="H634" s="9">
        <f>IF(MONTH(Data!$E634)&lt;=6, YEAR(Data!$E634), YEAR(Data!$E634)+1)</f>
        <v>2024</v>
      </c>
      <c r="I634" s="9" t="str">
        <f>TEXT(Data!$E634,"DDDD")</f>
        <v>Friday</v>
      </c>
      <c r="J634" s="9" t="s">
        <v>27</v>
      </c>
      <c r="K634" s="23">
        <f>ROUND(Data!$G634,0)</f>
        <v>2</v>
      </c>
    </row>
    <row r="635" spans="1:11" ht="14.25" customHeight="1" x14ac:dyDescent="0.3">
      <c r="A635" s="9" t="s">
        <v>669</v>
      </c>
      <c r="B635" s="9" t="s">
        <v>21</v>
      </c>
      <c r="C635" s="2">
        <v>144</v>
      </c>
      <c r="D635" s="12" t="s">
        <v>24</v>
      </c>
      <c r="E635" s="3">
        <v>45129</v>
      </c>
      <c r="F635" s="15">
        <v>102</v>
      </c>
      <c r="G635" s="18">
        <v>2.9</v>
      </c>
      <c r="H635" s="9">
        <f>IF(MONTH(Data!$E635)&lt;=6, YEAR(Data!$E635), YEAR(Data!$E635)+1)</f>
        <v>2024</v>
      </c>
      <c r="I635" s="9" t="str">
        <f>TEXT(Data!$E635,"DDDD")</f>
        <v>Saturday</v>
      </c>
      <c r="J635" s="9" t="s">
        <v>25</v>
      </c>
      <c r="K635" s="23">
        <f>ROUND(Data!$G635,0)</f>
        <v>3</v>
      </c>
    </row>
    <row r="636" spans="1:11" ht="14.25" customHeight="1" x14ac:dyDescent="0.3">
      <c r="A636" s="9" t="s">
        <v>670</v>
      </c>
      <c r="B636" s="9" t="s">
        <v>23</v>
      </c>
      <c r="C636" s="2">
        <v>67</v>
      </c>
      <c r="D636" s="12" t="s">
        <v>24</v>
      </c>
      <c r="E636" s="3">
        <v>45129</v>
      </c>
      <c r="F636" s="15">
        <v>38</v>
      </c>
      <c r="G636" s="18">
        <v>4.2</v>
      </c>
      <c r="H636" s="9">
        <f>IF(MONTH(Data!$E636)&lt;=6, YEAR(Data!$E636), YEAR(Data!$E636)+1)</f>
        <v>2024</v>
      </c>
      <c r="I636" s="9" t="str">
        <f>TEXT(Data!$E636,"DDDD")</f>
        <v>Saturday</v>
      </c>
      <c r="J636" s="9" t="s">
        <v>14</v>
      </c>
      <c r="K636" s="23">
        <f>ROUND(Data!$G636,0)</f>
        <v>4</v>
      </c>
    </row>
    <row r="637" spans="1:11" ht="14.25" customHeight="1" x14ac:dyDescent="0.3">
      <c r="A637" s="9" t="s">
        <v>671</v>
      </c>
      <c r="B637" s="9" t="s">
        <v>46</v>
      </c>
      <c r="C637" s="2">
        <v>162</v>
      </c>
      <c r="D637" s="12" t="s">
        <v>13</v>
      </c>
      <c r="E637" s="3">
        <v>45129</v>
      </c>
      <c r="F637" s="15">
        <v>82</v>
      </c>
      <c r="G637" s="18">
        <v>4.5999999999999996</v>
      </c>
      <c r="H637" s="9">
        <f>IF(MONTH(Data!$E637)&lt;=6, YEAR(Data!$E637), YEAR(Data!$E637)+1)</f>
        <v>2024</v>
      </c>
      <c r="I637" s="9" t="str">
        <f>TEXT(Data!$E637,"DDDD")</f>
        <v>Saturday</v>
      </c>
      <c r="J637" s="9" t="s">
        <v>25</v>
      </c>
      <c r="K637" s="23">
        <f>ROUND(Data!$G637,0)</f>
        <v>5</v>
      </c>
    </row>
    <row r="638" spans="1:11" ht="14.25" customHeight="1" x14ac:dyDescent="0.3">
      <c r="A638" s="9" t="s">
        <v>672</v>
      </c>
      <c r="B638" s="9" t="s">
        <v>21</v>
      </c>
      <c r="C638" s="2">
        <v>87</v>
      </c>
      <c r="D638" s="12" t="s">
        <v>19</v>
      </c>
      <c r="E638" s="3">
        <v>45132</v>
      </c>
      <c r="F638" s="15">
        <v>125</v>
      </c>
      <c r="G638" s="18">
        <v>4.5</v>
      </c>
      <c r="H638" s="9">
        <f>IF(MONTH(Data!$E638)&lt;=6, YEAR(Data!$E638), YEAR(Data!$E638)+1)</f>
        <v>2024</v>
      </c>
      <c r="I638" s="9" t="str">
        <f>TEXT(Data!$E638,"DDDD")</f>
        <v>Tuesday</v>
      </c>
      <c r="J638" s="9" t="s">
        <v>14</v>
      </c>
      <c r="K638" s="23">
        <f>ROUND(Data!$G638,0)</f>
        <v>5</v>
      </c>
    </row>
    <row r="639" spans="1:11" ht="14.25" customHeight="1" x14ac:dyDescent="0.3">
      <c r="A639" s="9" t="s">
        <v>673</v>
      </c>
      <c r="B639" s="9" t="s">
        <v>55</v>
      </c>
      <c r="C639" s="2">
        <v>10</v>
      </c>
      <c r="D639" s="12" t="s">
        <v>35</v>
      </c>
      <c r="E639" s="3">
        <v>45133</v>
      </c>
      <c r="F639" s="15">
        <v>72</v>
      </c>
      <c r="G639" s="18">
        <v>3.7</v>
      </c>
      <c r="H639" s="9">
        <f>IF(MONTH(Data!$E639)&lt;=6, YEAR(Data!$E639), YEAR(Data!$E639)+1)</f>
        <v>2024</v>
      </c>
      <c r="I639" s="9" t="str">
        <f>TEXT(Data!$E639,"DDDD")</f>
        <v>Wednesday</v>
      </c>
      <c r="J639" s="9" t="s">
        <v>176</v>
      </c>
      <c r="K639" s="23">
        <f>ROUND(Data!$G639,0)</f>
        <v>4</v>
      </c>
    </row>
    <row r="640" spans="1:11" ht="14.25" customHeight="1" x14ac:dyDescent="0.3">
      <c r="A640" s="9" t="s">
        <v>674</v>
      </c>
      <c r="B640" s="9" t="s">
        <v>16</v>
      </c>
      <c r="C640" s="2">
        <v>138</v>
      </c>
      <c r="D640" s="12" t="s">
        <v>35</v>
      </c>
      <c r="E640" s="3">
        <v>45133</v>
      </c>
      <c r="F640" s="15">
        <v>195</v>
      </c>
      <c r="G640" s="18">
        <v>4.0999999999999996</v>
      </c>
      <c r="H640" s="9">
        <f>IF(MONTH(Data!$E640)&lt;=6, YEAR(Data!$E640), YEAR(Data!$E640)+1)</f>
        <v>2024</v>
      </c>
      <c r="I640" s="9" t="str">
        <f>TEXT(Data!$E640,"DDDD")</f>
        <v>Wednesday</v>
      </c>
      <c r="J640" s="9" t="s">
        <v>25</v>
      </c>
      <c r="K640" s="23">
        <f>ROUND(Data!$G640,0)</f>
        <v>4</v>
      </c>
    </row>
    <row r="641" spans="1:11" ht="14.25" customHeight="1" x14ac:dyDescent="0.3">
      <c r="A641" s="9" t="s">
        <v>675</v>
      </c>
      <c r="B641" s="9" t="s">
        <v>46</v>
      </c>
      <c r="C641" s="2">
        <v>31</v>
      </c>
      <c r="D641" s="12" t="s">
        <v>35</v>
      </c>
      <c r="E641" s="3">
        <v>45134</v>
      </c>
      <c r="F641" s="15">
        <v>160</v>
      </c>
      <c r="G641" s="18">
        <v>3.4</v>
      </c>
      <c r="H641" s="9">
        <f>IF(MONTH(Data!$E641)&lt;=6, YEAR(Data!$E641), YEAR(Data!$E641)+1)</f>
        <v>2024</v>
      </c>
      <c r="I641" s="9" t="str">
        <f>TEXT(Data!$E641,"DDDD")</f>
        <v>Thursday</v>
      </c>
      <c r="J641" s="9" t="s">
        <v>27</v>
      </c>
      <c r="K641" s="23">
        <f>ROUND(Data!$G641,0)</f>
        <v>3</v>
      </c>
    </row>
    <row r="642" spans="1:11" ht="14.25" customHeight="1" x14ac:dyDescent="0.3">
      <c r="A642" s="9" t="s">
        <v>676</v>
      </c>
      <c r="B642" s="9" t="s">
        <v>58</v>
      </c>
      <c r="C642" s="2">
        <v>75</v>
      </c>
      <c r="D642" s="12" t="s">
        <v>13</v>
      </c>
      <c r="E642" s="3">
        <v>45134</v>
      </c>
      <c r="F642" s="15">
        <v>78</v>
      </c>
      <c r="G642" s="18">
        <v>3.3</v>
      </c>
      <c r="H642" s="9">
        <f>IF(MONTH(Data!$E642)&lt;=6, YEAR(Data!$E642), YEAR(Data!$E642)+1)</f>
        <v>2024</v>
      </c>
      <c r="I642" s="9" t="str">
        <f>TEXT(Data!$E642,"DDDD")</f>
        <v>Thursday</v>
      </c>
      <c r="J642" s="9" t="s">
        <v>14</v>
      </c>
      <c r="K642" s="23">
        <f>ROUND(Data!$G642,0)</f>
        <v>3</v>
      </c>
    </row>
    <row r="643" spans="1:11" ht="14.25" customHeight="1" x14ac:dyDescent="0.3">
      <c r="A643" s="9" t="s">
        <v>677</v>
      </c>
      <c r="B643" s="9" t="s">
        <v>12</v>
      </c>
      <c r="C643" s="2">
        <v>65</v>
      </c>
      <c r="D643" s="12" t="s">
        <v>13</v>
      </c>
      <c r="E643" s="3">
        <v>45135</v>
      </c>
      <c r="F643" s="15">
        <v>70</v>
      </c>
      <c r="G643" s="18">
        <v>4.4000000000000004</v>
      </c>
      <c r="H643" s="9">
        <f>IF(MONTH(Data!$E643)&lt;=6, YEAR(Data!$E643), YEAR(Data!$E643)+1)</f>
        <v>2024</v>
      </c>
      <c r="I643" s="9" t="str">
        <f>TEXT(Data!$E643,"DDDD")</f>
        <v>Friday</v>
      </c>
      <c r="J643" s="9" t="s">
        <v>14</v>
      </c>
      <c r="K643" s="23">
        <f>ROUND(Data!$G643,0)</f>
        <v>4</v>
      </c>
    </row>
    <row r="644" spans="1:11" ht="14.25" customHeight="1" x14ac:dyDescent="0.3">
      <c r="A644" s="9" t="s">
        <v>678</v>
      </c>
      <c r="B644" s="9" t="s">
        <v>18</v>
      </c>
      <c r="C644" s="2">
        <v>106</v>
      </c>
      <c r="D644" s="12" t="s">
        <v>31</v>
      </c>
      <c r="E644" s="3">
        <v>45135</v>
      </c>
      <c r="F644" s="15">
        <v>105</v>
      </c>
      <c r="G644" s="18">
        <v>4.2</v>
      </c>
      <c r="H644" s="9">
        <f>IF(MONTH(Data!$E644)&lt;=6, YEAR(Data!$E644), YEAR(Data!$E644)+1)</f>
        <v>2024</v>
      </c>
      <c r="I644" s="9" t="str">
        <f>TEXT(Data!$E644,"DDDD")</f>
        <v>Friday</v>
      </c>
      <c r="J644" s="9" t="s">
        <v>14</v>
      </c>
      <c r="K644" s="23">
        <f>ROUND(Data!$G644,0)</f>
        <v>4</v>
      </c>
    </row>
    <row r="645" spans="1:11" ht="14.25" customHeight="1" x14ac:dyDescent="0.3">
      <c r="A645" s="9" t="s">
        <v>679</v>
      </c>
      <c r="B645" s="9" t="s">
        <v>12</v>
      </c>
      <c r="C645" s="2">
        <v>107</v>
      </c>
      <c r="D645" s="12" t="s">
        <v>31</v>
      </c>
      <c r="E645" s="3">
        <v>45136</v>
      </c>
      <c r="F645" s="15">
        <v>78</v>
      </c>
      <c r="G645" s="18">
        <v>3.4</v>
      </c>
      <c r="H645" s="9">
        <f>IF(MONTH(Data!$E645)&lt;=6, YEAR(Data!$E645), YEAR(Data!$E645)+1)</f>
        <v>2024</v>
      </c>
      <c r="I645" s="9" t="str">
        <f>TEXT(Data!$E645,"DDDD")</f>
        <v>Saturday</v>
      </c>
      <c r="J645" s="9" t="s">
        <v>14</v>
      </c>
      <c r="K645" s="23">
        <f>ROUND(Data!$G645,0)</f>
        <v>3</v>
      </c>
    </row>
    <row r="646" spans="1:11" ht="14.25" customHeight="1" x14ac:dyDescent="0.3">
      <c r="A646" s="9" t="s">
        <v>680</v>
      </c>
      <c r="B646" s="9" t="s">
        <v>68</v>
      </c>
      <c r="C646" s="2">
        <v>78</v>
      </c>
      <c r="D646" s="12" t="s">
        <v>31</v>
      </c>
      <c r="E646" s="3">
        <v>45138</v>
      </c>
      <c r="F646" s="15">
        <v>205</v>
      </c>
      <c r="G646" s="18">
        <v>4.4000000000000004</v>
      </c>
      <c r="H646" s="9">
        <f>IF(MONTH(Data!$E646)&lt;=6, YEAR(Data!$E646), YEAR(Data!$E646)+1)</f>
        <v>2024</v>
      </c>
      <c r="I646" s="9" t="str">
        <f>TEXT(Data!$E646,"DDDD")</f>
        <v>Monday</v>
      </c>
      <c r="J646" s="9" t="s">
        <v>14</v>
      </c>
      <c r="K646" s="23">
        <f>ROUND(Data!$G646,0)</f>
        <v>4</v>
      </c>
    </row>
    <row r="647" spans="1:11" ht="14.25" customHeight="1" x14ac:dyDescent="0.3">
      <c r="A647" s="9" t="s">
        <v>681</v>
      </c>
      <c r="B647" s="9" t="s">
        <v>40</v>
      </c>
      <c r="C647" s="2">
        <v>122</v>
      </c>
      <c r="D647" s="12" t="s">
        <v>31</v>
      </c>
      <c r="E647" s="3">
        <v>45138</v>
      </c>
      <c r="F647" s="15">
        <v>78</v>
      </c>
      <c r="G647" s="18">
        <v>2.7</v>
      </c>
      <c r="H647" s="9">
        <f>IF(MONTH(Data!$E647)&lt;=6, YEAR(Data!$E647), YEAR(Data!$E647)+1)</f>
        <v>2024</v>
      </c>
      <c r="I647" s="9" t="str">
        <f>TEXT(Data!$E647,"DDDD")</f>
        <v>Monday</v>
      </c>
      <c r="J647" s="9" t="s">
        <v>25</v>
      </c>
      <c r="K647" s="23">
        <f>ROUND(Data!$G647,0)</f>
        <v>3</v>
      </c>
    </row>
    <row r="648" spans="1:11" ht="14.25" customHeight="1" x14ac:dyDescent="0.3">
      <c r="A648" s="9" t="s">
        <v>682</v>
      </c>
      <c r="B648" s="9" t="s">
        <v>16</v>
      </c>
      <c r="C648" s="2">
        <v>58</v>
      </c>
      <c r="D648" s="12" t="s">
        <v>35</v>
      </c>
      <c r="E648" s="3">
        <v>45138</v>
      </c>
      <c r="F648" s="15">
        <v>38</v>
      </c>
      <c r="G648" s="18">
        <v>4.5</v>
      </c>
      <c r="H648" s="9">
        <f>IF(MONTH(Data!$E648)&lt;=6, YEAR(Data!$E648), YEAR(Data!$E648)+1)</f>
        <v>2024</v>
      </c>
      <c r="I648" s="9" t="str">
        <f>TEXT(Data!$E648,"DDDD")</f>
        <v>Monday</v>
      </c>
      <c r="J648" s="9" t="s">
        <v>27</v>
      </c>
      <c r="K648" s="23">
        <f>ROUND(Data!$G648,0)</f>
        <v>5</v>
      </c>
    </row>
    <row r="649" spans="1:11" ht="14.25" customHeight="1" x14ac:dyDescent="0.3">
      <c r="A649" s="9" t="s">
        <v>683</v>
      </c>
      <c r="B649" s="9" t="s">
        <v>68</v>
      </c>
      <c r="C649" s="2">
        <v>33</v>
      </c>
      <c r="D649" s="12" t="s">
        <v>24</v>
      </c>
      <c r="E649" s="3">
        <v>45138</v>
      </c>
      <c r="F649" s="15">
        <v>92</v>
      </c>
      <c r="G649" s="18">
        <v>1.7</v>
      </c>
      <c r="H649" s="9">
        <f>IF(MONTH(Data!$E649)&lt;=6, YEAR(Data!$E649), YEAR(Data!$E649)+1)</f>
        <v>2024</v>
      </c>
      <c r="I649" s="9" t="str">
        <f>TEXT(Data!$E649,"DDDD")</f>
        <v>Monday</v>
      </c>
      <c r="J649" s="9" t="s">
        <v>27</v>
      </c>
      <c r="K649" s="23">
        <f>ROUND(Data!$G649,0)</f>
        <v>2</v>
      </c>
    </row>
    <row r="650" spans="1:11" ht="14.25" customHeight="1" x14ac:dyDescent="0.3">
      <c r="A650" s="9" t="s">
        <v>684</v>
      </c>
      <c r="B650" s="9" t="s">
        <v>88</v>
      </c>
      <c r="C650" s="2">
        <v>164</v>
      </c>
      <c r="D650" s="12" t="s">
        <v>13</v>
      </c>
      <c r="E650" s="3">
        <v>45138</v>
      </c>
      <c r="F650" s="15">
        <v>36</v>
      </c>
      <c r="G650" s="18">
        <v>4.7</v>
      </c>
      <c r="H650" s="9">
        <f>IF(MONTH(Data!$E650)&lt;=6, YEAR(Data!$E650), YEAR(Data!$E650)+1)</f>
        <v>2024</v>
      </c>
      <c r="I650" s="9" t="str">
        <f>TEXT(Data!$E650,"DDDD")</f>
        <v>Monday</v>
      </c>
      <c r="J650" s="9" t="s">
        <v>25</v>
      </c>
      <c r="K650" s="23">
        <f>ROUND(Data!$G650,0)</f>
        <v>5</v>
      </c>
    </row>
    <row r="651" spans="1:11" ht="14.25" customHeight="1" x14ac:dyDescent="0.3">
      <c r="A651" s="9" t="s">
        <v>685</v>
      </c>
      <c r="B651" s="9" t="s">
        <v>58</v>
      </c>
      <c r="C651" s="2">
        <v>163</v>
      </c>
      <c r="D651" s="12" t="s">
        <v>19</v>
      </c>
      <c r="E651" s="3">
        <v>45138</v>
      </c>
      <c r="F651" s="15">
        <v>76</v>
      </c>
      <c r="G651" s="18">
        <v>4.4000000000000004</v>
      </c>
      <c r="H651" s="9">
        <f>IF(MONTH(Data!$E651)&lt;=6, YEAR(Data!$E651), YEAR(Data!$E651)+1)</f>
        <v>2024</v>
      </c>
      <c r="I651" s="9" t="str">
        <f>TEXT(Data!$E651,"DDDD")</f>
        <v>Monday</v>
      </c>
      <c r="J651" s="9" t="s">
        <v>25</v>
      </c>
      <c r="K651" s="23">
        <f>ROUND(Data!$G651,0)</f>
        <v>4</v>
      </c>
    </row>
    <row r="652" spans="1:11" ht="14.25" customHeight="1" x14ac:dyDescent="0.3">
      <c r="A652" s="9" t="s">
        <v>686</v>
      </c>
      <c r="B652" s="9" t="s">
        <v>29</v>
      </c>
      <c r="C652" s="2">
        <v>71</v>
      </c>
      <c r="D652" s="12" t="s">
        <v>13</v>
      </c>
      <c r="E652" s="3">
        <v>45140</v>
      </c>
      <c r="F652" s="15">
        <v>170</v>
      </c>
      <c r="G652" s="18">
        <v>3.5</v>
      </c>
      <c r="H652" s="9">
        <f>IF(MONTH(Data!$E652)&lt;=6, YEAR(Data!$E652), YEAR(Data!$E652)+1)</f>
        <v>2024</v>
      </c>
      <c r="I652" s="9" t="str">
        <f>TEXT(Data!$E652,"DDDD")</f>
        <v>Wednesday</v>
      </c>
      <c r="J652" s="9" t="s">
        <v>14</v>
      </c>
      <c r="K652" s="23">
        <f>ROUND(Data!$G652,0)</f>
        <v>4</v>
      </c>
    </row>
    <row r="653" spans="1:11" ht="14.25" customHeight="1" x14ac:dyDescent="0.3">
      <c r="A653" s="9" t="s">
        <v>687</v>
      </c>
      <c r="B653" s="9" t="s">
        <v>68</v>
      </c>
      <c r="C653" s="2">
        <v>103</v>
      </c>
      <c r="D653" s="12" t="s">
        <v>35</v>
      </c>
      <c r="E653" s="3">
        <v>45141</v>
      </c>
      <c r="F653" s="15">
        <v>117</v>
      </c>
      <c r="G653" s="18">
        <v>4.7</v>
      </c>
      <c r="H653" s="9">
        <f>IF(MONTH(Data!$E653)&lt;=6, YEAR(Data!$E653), YEAR(Data!$E653)+1)</f>
        <v>2024</v>
      </c>
      <c r="I653" s="9" t="str">
        <f>TEXT(Data!$E653,"DDDD")</f>
        <v>Thursday</v>
      </c>
      <c r="J653" s="9" t="s">
        <v>14</v>
      </c>
      <c r="K653" s="23">
        <f>ROUND(Data!$G653,0)</f>
        <v>5</v>
      </c>
    </row>
    <row r="654" spans="1:11" ht="14.25" customHeight="1" x14ac:dyDescent="0.3">
      <c r="A654" s="9" t="s">
        <v>688</v>
      </c>
      <c r="B654" s="9" t="s">
        <v>50</v>
      </c>
      <c r="C654" s="2">
        <v>69</v>
      </c>
      <c r="D654" s="12" t="s">
        <v>19</v>
      </c>
      <c r="E654" s="3">
        <v>45141</v>
      </c>
      <c r="F654" s="15">
        <v>20</v>
      </c>
      <c r="G654" s="18">
        <v>4.3</v>
      </c>
      <c r="H654" s="9">
        <f>IF(MONTH(Data!$E654)&lt;=6, YEAR(Data!$E654), YEAR(Data!$E654)+1)</f>
        <v>2024</v>
      </c>
      <c r="I654" s="9" t="str">
        <f>TEXT(Data!$E654,"DDDD")</f>
        <v>Thursday</v>
      </c>
      <c r="J654" s="9" t="s">
        <v>14</v>
      </c>
      <c r="K654" s="23">
        <f>ROUND(Data!$G654,0)</f>
        <v>4</v>
      </c>
    </row>
    <row r="655" spans="1:11" ht="14.25" customHeight="1" x14ac:dyDescent="0.3">
      <c r="A655" s="9" t="s">
        <v>689</v>
      </c>
      <c r="B655" s="9" t="s">
        <v>58</v>
      </c>
      <c r="C655" s="2">
        <v>111</v>
      </c>
      <c r="D655" s="12" t="s">
        <v>35</v>
      </c>
      <c r="E655" s="3">
        <v>45141</v>
      </c>
      <c r="F655" s="15">
        <v>99</v>
      </c>
      <c r="G655" s="18">
        <v>4.0999999999999996</v>
      </c>
      <c r="H655" s="9">
        <f>IF(MONTH(Data!$E655)&lt;=6, YEAR(Data!$E655), YEAR(Data!$E655)+1)</f>
        <v>2024</v>
      </c>
      <c r="I655" s="9" t="str">
        <f>TEXT(Data!$E655,"DDDD")</f>
        <v>Thursday</v>
      </c>
      <c r="J655" s="9" t="s">
        <v>14</v>
      </c>
      <c r="K655" s="23">
        <f>ROUND(Data!$G655,0)</f>
        <v>4</v>
      </c>
    </row>
    <row r="656" spans="1:11" ht="14.25" customHeight="1" x14ac:dyDescent="0.3">
      <c r="A656" s="9" t="s">
        <v>690</v>
      </c>
      <c r="B656" s="9" t="s">
        <v>34</v>
      </c>
      <c r="C656" s="2">
        <v>97</v>
      </c>
      <c r="D656" s="12" t="s">
        <v>19</v>
      </c>
      <c r="E656" s="3">
        <v>45142</v>
      </c>
      <c r="F656" s="15">
        <v>105</v>
      </c>
      <c r="G656" s="18">
        <v>2.9</v>
      </c>
      <c r="H656" s="9">
        <f>IF(MONTH(Data!$E656)&lt;=6, YEAR(Data!$E656), YEAR(Data!$E656)+1)</f>
        <v>2024</v>
      </c>
      <c r="I656" s="9" t="str">
        <f>TEXT(Data!$E656,"DDDD")</f>
        <v>Friday</v>
      </c>
      <c r="J656" s="9" t="s">
        <v>14</v>
      </c>
      <c r="K656" s="23">
        <f>ROUND(Data!$G656,0)</f>
        <v>3</v>
      </c>
    </row>
    <row r="657" spans="1:11" ht="14.25" customHeight="1" x14ac:dyDescent="0.3">
      <c r="A657" s="9" t="s">
        <v>691</v>
      </c>
      <c r="B657" s="9" t="s">
        <v>38</v>
      </c>
      <c r="C657" s="2">
        <v>144</v>
      </c>
      <c r="D657" s="12" t="s">
        <v>31</v>
      </c>
      <c r="E657" s="3">
        <v>45142</v>
      </c>
      <c r="F657" s="15">
        <v>195</v>
      </c>
      <c r="G657" s="18">
        <v>3.4</v>
      </c>
      <c r="H657" s="9">
        <f>IF(MONTH(Data!$E657)&lt;=6, YEAR(Data!$E657), YEAR(Data!$E657)+1)</f>
        <v>2024</v>
      </c>
      <c r="I657" s="9" t="str">
        <f>TEXT(Data!$E657,"DDDD")</f>
        <v>Friday</v>
      </c>
      <c r="J657" s="9" t="s">
        <v>25</v>
      </c>
      <c r="K657" s="23">
        <f>ROUND(Data!$G657,0)</f>
        <v>3</v>
      </c>
    </row>
    <row r="658" spans="1:11" ht="14.25" customHeight="1" x14ac:dyDescent="0.3">
      <c r="A658" s="9" t="s">
        <v>692</v>
      </c>
      <c r="B658" s="9" t="s">
        <v>18</v>
      </c>
      <c r="C658" s="2">
        <v>56</v>
      </c>
      <c r="D658" s="12" t="s">
        <v>19</v>
      </c>
      <c r="E658" s="3">
        <v>45143</v>
      </c>
      <c r="F658" s="15">
        <v>152</v>
      </c>
      <c r="G658" s="18">
        <v>4.5999999999999996</v>
      </c>
      <c r="H658" s="9">
        <f>IF(MONTH(Data!$E658)&lt;=6, YEAR(Data!$E658), YEAR(Data!$E658)+1)</f>
        <v>2024</v>
      </c>
      <c r="I658" s="9" t="str">
        <f>TEXT(Data!$E658,"DDDD")</f>
        <v>Saturday</v>
      </c>
      <c r="J658" s="9" t="s">
        <v>27</v>
      </c>
      <c r="K658" s="23">
        <f>ROUND(Data!$G658,0)</f>
        <v>5</v>
      </c>
    </row>
    <row r="659" spans="1:11" ht="14.25" customHeight="1" x14ac:dyDescent="0.3">
      <c r="A659" s="9" t="s">
        <v>693</v>
      </c>
      <c r="B659" s="9" t="s">
        <v>38</v>
      </c>
      <c r="C659" s="2">
        <v>132</v>
      </c>
      <c r="D659" s="12" t="s">
        <v>31</v>
      </c>
      <c r="E659" s="3">
        <v>45144</v>
      </c>
      <c r="F659" s="15">
        <v>195</v>
      </c>
      <c r="G659" s="18">
        <v>4.9000000000000004</v>
      </c>
      <c r="H659" s="9">
        <f>IF(MONTH(Data!$E659)&lt;=6, YEAR(Data!$E659), YEAR(Data!$E659)+1)</f>
        <v>2024</v>
      </c>
      <c r="I659" s="9" t="str">
        <f>TEXT(Data!$E659,"DDDD")</f>
        <v>Sunday</v>
      </c>
      <c r="J659" s="9" t="s">
        <v>25</v>
      </c>
      <c r="K659" s="23">
        <f>ROUND(Data!$G659,0)</f>
        <v>5</v>
      </c>
    </row>
    <row r="660" spans="1:11" ht="14.25" customHeight="1" x14ac:dyDescent="0.3">
      <c r="A660" s="9" t="s">
        <v>694</v>
      </c>
      <c r="B660" s="9" t="s">
        <v>29</v>
      </c>
      <c r="C660" s="2">
        <v>72</v>
      </c>
      <c r="D660" s="12" t="s">
        <v>24</v>
      </c>
      <c r="E660" s="3">
        <v>45144</v>
      </c>
      <c r="F660" s="15">
        <v>70</v>
      </c>
      <c r="G660" s="18">
        <v>3.6</v>
      </c>
      <c r="H660" s="9">
        <f>IF(MONTH(Data!$E660)&lt;=6, YEAR(Data!$E660), YEAR(Data!$E660)+1)</f>
        <v>2024</v>
      </c>
      <c r="I660" s="9" t="str">
        <f>TEXT(Data!$E660,"DDDD")</f>
        <v>Sunday</v>
      </c>
      <c r="J660" s="9" t="s">
        <v>14</v>
      </c>
      <c r="K660" s="23">
        <f>ROUND(Data!$G660,0)</f>
        <v>4</v>
      </c>
    </row>
    <row r="661" spans="1:11" ht="14.25" customHeight="1" x14ac:dyDescent="0.3">
      <c r="A661" s="9" t="s">
        <v>695</v>
      </c>
      <c r="B661" s="9" t="s">
        <v>58</v>
      </c>
      <c r="C661" s="2">
        <v>18</v>
      </c>
      <c r="D661" s="12" t="s">
        <v>24</v>
      </c>
      <c r="E661" s="3">
        <v>45144</v>
      </c>
      <c r="F661" s="15">
        <v>22</v>
      </c>
      <c r="G661" s="18">
        <v>3.5</v>
      </c>
      <c r="H661" s="9">
        <f>IF(MONTH(Data!$E661)&lt;=6, YEAR(Data!$E661), YEAR(Data!$E661)+1)</f>
        <v>2024</v>
      </c>
      <c r="I661" s="9" t="str">
        <f>TEXT(Data!$E661,"DDDD")</f>
        <v>Sunday</v>
      </c>
      <c r="J661" s="9" t="s">
        <v>47</v>
      </c>
      <c r="K661" s="23">
        <f>ROUND(Data!$G661,0)</f>
        <v>4</v>
      </c>
    </row>
    <row r="662" spans="1:11" ht="14.25" customHeight="1" x14ac:dyDescent="0.3">
      <c r="A662" s="9" t="s">
        <v>696</v>
      </c>
      <c r="B662" s="9" t="s">
        <v>23</v>
      </c>
      <c r="C662" s="2">
        <v>115</v>
      </c>
      <c r="D662" s="12" t="s">
        <v>35</v>
      </c>
      <c r="E662" s="3">
        <v>45145</v>
      </c>
      <c r="F662" s="15">
        <v>40</v>
      </c>
      <c r="G662" s="18">
        <v>3.3</v>
      </c>
      <c r="H662" s="9">
        <f>IF(MONTH(Data!$E662)&lt;=6, YEAR(Data!$E662), YEAR(Data!$E662)+1)</f>
        <v>2024</v>
      </c>
      <c r="I662" s="9" t="str">
        <f>TEXT(Data!$E662,"DDDD")</f>
        <v>Monday</v>
      </c>
      <c r="J662" s="9" t="s">
        <v>14</v>
      </c>
      <c r="K662" s="23">
        <f>ROUND(Data!$G662,0)</f>
        <v>3</v>
      </c>
    </row>
    <row r="663" spans="1:11" ht="14.25" customHeight="1" x14ac:dyDescent="0.3">
      <c r="A663" s="9" t="s">
        <v>697</v>
      </c>
      <c r="B663" s="9" t="s">
        <v>23</v>
      </c>
      <c r="C663" s="2">
        <v>124</v>
      </c>
      <c r="D663" s="12" t="s">
        <v>19</v>
      </c>
      <c r="E663" s="3">
        <v>45146</v>
      </c>
      <c r="F663" s="15">
        <v>54</v>
      </c>
      <c r="G663" s="18">
        <v>3.8</v>
      </c>
      <c r="H663" s="9">
        <f>IF(MONTH(Data!$E663)&lt;=6, YEAR(Data!$E663), YEAR(Data!$E663)+1)</f>
        <v>2024</v>
      </c>
      <c r="I663" s="9" t="str">
        <f>TEXT(Data!$E663,"DDDD")</f>
        <v>Tuesday</v>
      </c>
      <c r="J663" s="9" t="s">
        <v>25</v>
      </c>
      <c r="K663" s="23">
        <f>ROUND(Data!$G663,0)</f>
        <v>4</v>
      </c>
    </row>
    <row r="664" spans="1:11" ht="14.25" customHeight="1" x14ac:dyDescent="0.3">
      <c r="A664" s="9" t="s">
        <v>698</v>
      </c>
      <c r="B664" s="9" t="s">
        <v>16</v>
      </c>
      <c r="C664" s="2">
        <v>130</v>
      </c>
      <c r="D664" s="12" t="s">
        <v>19</v>
      </c>
      <c r="E664" s="3">
        <v>45146</v>
      </c>
      <c r="F664" s="15">
        <v>60</v>
      </c>
      <c r="G664" s="18">
        <v>2.5</v>
      </c>
      <c r="H664" s="9">
        <f>IF(MONTH(Data!$E664)&lt;=6, YEAR(Data!$E664), YEAR(Data!$E664)+1)</f>
        <v>2024</v>
      </c>
      <c r="I664" s="9" t="str">
        <f>TEXT(Data!$E664,"DDDD")</f>
        <v>Tuesday</v>
      </c>
      <c r="J664" s="9" t="s">
        <v>25</v>
      </c>
      <c r="K664" s="23">
        <f>ROUND(Data!$G664,0)</f>
        <v>3</v>
      </c>
    </row>
    <row r="665" spans="1:11" ht="14.25" customHeight="1" x14ac:dyDescent="0.3">
      <c r="A665" s="9" t="s">
        <v>699</v>
      </c>
      <c r="B665" s="9" t="s">
        <v>55</v>
      </c>
      <c r="C665" s="2">
        <v>120</v>
      </c>
      <c r="D665" s="12" t="s">
        <v>13</v>
      </c>
      <c r="E665" s="3">
        <v>45148</v>
      </c>
      <c r="F665" s="15">
        <v>58</v>
      </c>
      <c r="G665" s="18">
        <v>4.5999999999999996</v>
      </c>
      <c r="H665" s="9">
        <f>IF(MONTH(Data!$E665)&lt;=6, YEAR(Data!$E665), YEAR(Data!$E665)+1)</f>
        <v>2024</v>
      </c>
      <c r="I665" s="9" t="str">
        <f>TEXT(Data!$E665,"DDDD")</f>
        <v>Thursday</v>
      </c>
      <c r="J665" s="9" t="s">
        <v>14</v>
      </c>
      <c r="K665" s="23">
        <f>ROUND(Data!$G665,0)</f>
        <v>5</v>
      </c>
    </row>
    <row r="666" spans="1:11" ht="14.25" customHeight="1" x14ac:dyDescent="0.3">
      <c r="A666" s="9" t="s">
        <v>700</v>
      </c>
      <c r="B666" s="9" t="s">
        <v>34</v>
      </c>
      <c r="C666" s="2">
        <v>75</v>
      </c>
      <c r="D666" s="12" t="s">
        <v>35</v>
      </c>
      <c r="E666" s="3">
        <v>45148</v>
      </c>
      <c r="F666" s="15">
        <v>220</v>
      </c>
      <c r="G666" s="18">
        <v>4.7</v>
      </c>
      <c r="H666" s="9">
        <f>IF(MONTH(Data!$E666)&lt;=6, YEAR(Data!$E666), YEAR(Data!$E666)+1)</f>
        <v>2024</v>
      </c>
      <c r="I666" s="9" t="str">
        <f>TEXT(Data!$E666,"DDDD")</f>
        <v>Thursday</v>
      </c>
      <c r="J666" s="9" t="s">
        <v>14</v>
      </c>
      <c r="K666" s="23">
        <f>ROUND(Data!$G666,0)</f>
        <v>5</v>
      </c>
    </row>
    <row r="667" spans="1:11" ht="14.25" customHeight="1" x14ac:dyDescent="0.3">
      <c r="A667" s="9" t="s">
        <v>701</v>
      </c>
      <c r="B667" s="9" t="s">
        <v>12</v>
      </c>
      <c r="C667" s="2">
        <v>63</v>
      </c>
      <c r="D667" s="12" t="s">
        <v>35</v>
      </c>
      <c r="E667" s="3">
        <v>45148</v>
      </c>
      <c r="F667" s="15">
        <v>27</v>
      </c>
      <c r="G667" s="18">
        <v>3.6</v>
      </c>
      <c r="H667" s="9">
        <f>IF(MONTH(Data!$E667)&lt;=6, YEAR(Data!$E667), YEAR(Data!$E667)+1)</f>
        <v>2024</v>
      </c>
      <c r="I667" s="9" t="str">
        <f>TEXT(Data!$E667,"DDDD")</f>
        <v>Thursday</v>
      </c>
      <c r="J667" s="9" t="s">
        <v>14</v>
      </c>
      <c r="K667" s="23">
        <f>ROUND(Data!$G667,0)</f>
        <v>4</v>
      </c>
    </row>
    <row r="668" spans="1:11" ht="14.25" customHeight="1" x14ac:dyDescent="0.3">
      <c r="A668" s="9" t="s">
        <v>702</v>
      </c>
      <c r="B668" s="9" t="s">
        <v>38</v>
      </c>
      <c r="C668" s="2">
        <v>74</v>
      </c>
      <c r="D668" s="12" t="s">
        <v>35</v>
      </c>
      <c r="E668" s="3">
        <v>45150</v>
      </c>
      <c r="F668" s="15">
        <v>26</v>
      </c>
      <c r="G668" s="18">
        <v>4.3</v>
      </c>
      <c r="H668" s="9">
        <f>IF(MONTH(Data!$E668)&lt;=6, YEAR(Data!$E668), YEAR(Data!$E668)+1)</f>
        <v>2024</v>
      </c>
      <c r="I668" s="9" t="str">
        <f>TEXT(Data!$E668,"DDDD")</f>
        <v>Saturday</v>
      </c>
      <c r="J668" s="9" t="s">
        <v>14</v>
      </c>
      <c r="K668" s="23">
        <f>ROUND(Data!$G668,0)</f>
        <v>4</v>
      </c>
    </row>
    <row r="669" spans="1:11" ht="14.25" customHeight="1" x14ac:dyDescent="0.3">
      <c r="A669" s="9" t="s">
        <v>703</v>
      </c>
      <c r="B669" s="9" t="s">
        <v>50</v>
      </c>
      <c r="C669" s="2">
        <v>134</v>
      </c>
      <c r="D669" s="12" t="s">
        <v>31</v>
      </c>
      <c r="E669" s="3">
        <v>45151</v>
      </c>
      <c r="F669" s="15">
        <v>160</v>
      </c>
      <c r="G669" s="18">
        <v>4.7</v>
      </c>
      <c r="H669" s="9">
        <f>IF(MONTH(Data!$E669)&lt;=6, YEAR(Data!$E669), YEAR(Data!$E669)+1)</f>
        <v>2024</v>
      </c>
      <c r="I669" s="9" t="str">
        <f>TEXT(Data!$E669,"DDDD")</f>
        <v>Sunday</v>
      </c>
      <c r="J669" s="9" t="s">
        <v>25</v>
      </c>
      <c r="K669" s="23">
        <f>ROUND(Data!$G669,0)</f>
        <v>5</v>
      </c>
    </row>
    <row r="670" spans="1:11" ht="14.25" customHeight="1" x14ac:dyDescent="0.3">
      <c r="A670" s="9" t="s">
        <v>704</v>
      </c>
      <c r="B670" s="9" t="s">
        <v>58</v>
      </c>
      <c r="C670" s="2">
        <v>103</v>
      </c>
      <c r="D670" s="12" t="s">
        <v>19</v>
      </c>
      <c r="E670" s="3">
        <v>45151</v>
      </c>
      <c r="F670" s="15">
        <v>200</v>
      </c>
      <c r="G670" s="18">
        <v>4.9000000000000004</v>
      </c>
      <c r="H670" s="9">
        <f>IF(MONTH(Data!$E670)&lt;=6, YEAR(Data!$E670), YEAR(Data!$E670)+1)</f>
        <v>2024</v>
      </c>
      <c r="I670" s="9" t="str">
        <f>TEXT(Data!$E670,"DDDD")</f>
        <v>Sunday</v>
      </c>
      <c r="J670" s="9" t="s">
        <v>14</v>
      </c>
      <c r="K670" s="23">
        <f>ROUND(Data!$G670,0)</f>
        <v>5</v>
      </c>
    </row>
    <row r="671" spans="1:11" ht="14.25" customHeight="1" x14ac:dyDescent="0.3">
      <c r="A671" s="9" t="s">
        <v>705</v>
      </c>
      <c r="B671" s="9" t="s">
        <v>58</v>
      </c>
      <c r="C671" s="2">
        <v>155</v>
      </c>
      <c r="D671" s="12" t="s">
        <v>13</v>
      </c>
      <c r="E671" s="3">
        <v>45154</v>
      </c>
      <c r="F671" s="15">
        <v>135</v>
      </c>
      <c r="G671" s="18">
        <v>4.9000000000000004</v>
      </c>
      <c r="H671" s="9">
        <f>IF(MONTH(Data!$E671)&lt;=6, YEAR(Data!$E671), YEAR(Data!$E671)+1)</f>
        <v>2024</v>
      </c>
      <c r="I671" s="9" t="str">
        <f>TEXT(Data!$E671,"DDDD")</f>
        <v>Wednesday</v>
      </c>
      <c r="J671" s="9" t="s">
        <v>25</v>
      </c>
      <c r="K671" s="23">
        <f>ROUND(Data!$G671,0)</f>
        <v>5</v>
      </c>
    </row>
    <row r="672" spans="1:11" ht="14.25" customHeight="1" x14ac:dyDescent="0.3">
      <c r="A672" s="9" t="s">
        <v>706</v>
      </c>
      <c r="B672" s="9" t="s">
        <v>12</v>
      </c>
      <c r="C672" s="2">
        <v>128</v>
      </c>
      <c r="D672" s="12" t="s">
        <v>19</v>
      </c>
      <c r="E672" s="3">
        <v>45155</v>
      </c>
      <c r="F672" s="15">
        <v>22</v>
      </c>
      <c r="G672" s="18">
        <v>1.9</v>
      </c>
      <c r="H672" s="9">
        <f>IF(MONTH(Data!$E672)&lt;=6, YEAR(Data!$E672), YEAR(Data!$E672)+1)</f>
        <v>2024</v>
      </c>
      <c r="I672" s="9" t="str">
        <f>TEXT(Data!$E672,"DDDD")</f>
        <v>Thursday</v>
      </c>
      <c r="J672" s="9" t="s">
        <v>25</v>
      </c>
      <c r="K672" s="23">
        <f>ROUND(Data!$G672,0)</f>
        <v>2</v>
      </c>
    </row>
    <row r="673" spans="1:11" ht="14.25" customHeight="1" x14ac:dyDescent="0.3">
      <c r="A673" s="9" t="s">
        <v>707</v>
      </c>
      <c r="B673" s="9" t="s">
        <v>34</v>
      </c>
      <c r="C673" s="2">
        <v>89</v>
      </c>
      <c r="D673" s="12" t="s">
        <v>31</v>
      </c>
      <c r="E673" s="3">
        <v>45156</v>
      </c>
      <c r="F673" s="15">
        <v>164</v>
      </c>
      <c r="G673" s="18">
        <v>4.5</v>
      </c>
      <c r="H673" s="9">
        <f>IF(MONTH(Data!$E673)&lt;=6, YEAR(Data!$E673), YEAR(Data!$E673)+1)</f>
        <v>2024</v>
      </c>
      <c r="I673" s="9" t="str">
        <f>TEXT(Data!$E673,"DDDD")</f>
        <v>Friday</v>
      </c>
      <c r="J673" s="9" t="s">
        <v>14</v>
      </c>
      <c r="K673" s="23">
        <f>ROUND(Data!$G673,0)</f>
        <v>5</v>
      </c>
    </row>
    <row r="674" spans="1:11" ht="14.25" customHeight="1" x14ac:dyDescent="0.3">
      <c r="A674" s="9" t="s">
        <v>708</v>
      </c>
      <c r="B674" s="9" t="s">
        <v>23</v>
      </c>
      <c r="C674" s="2">
        <v>81</v>
      </c>
      <c r="D674" s="12" t="s">
        <v>13</v>
      </c>
      <c r="E674" s="3">
        <v>45156</v>
      </c>
      <c r="F674" s="15">
        <v>21</v>
      </c>
      <c r="G674" s="18">
        <v>4.9000000000000004</v>
      </c>
      <c r="H674" s="9">
        <f>IF(MONTH(Data!$E674)&lt;=6, YEAR(Data!$E674), YEAR(Data!$E674)+1)</f>
        <v>2024</v>
      </c>
      <c r="I674" s="9" t="str">
        <f>TEXT(Data!$E674,"DDDD")</f>
        <v>Friday</v>
      </c>
      <c r="J674" s="9" t="s">
        <v>14</v>
      </c>
      <c r="K674" s="23">
        <f>ROUND(Data!$G674,0)</f>
        <v>5</v>
      </c>
    </row>
    <row r="675" spans="1:11" ht="14.25" customHeight="1" x14ac:dyDescent="0.3">
      <c r="A675" s="9" t="s">
        <v>709</v>
      </c>
      <c r="B675" s="9" t="s">
        <v>34</v>
      </c>
      <c r="C675" s="2">
        <v>66</v>
      </c>
      <c r="D675" s="12" t="s">
        <v>31</v>
      </c>
      <c r="E675" s="3">
        <v>45157</v>
      </c>
      <c r="F675" s="15">
        <v>120</v>
      </c>
      <c r="G675" s="18">
        <v>4.5</v>
      </c>
      <c r="H675" s="9">
        <f>IF(MONTH(Data!$E675)&lt;=6, YEAR(Data!$E675), YEAR(Data!$E675)+1)</f>
        <v>2024</v>
      </c>
      <c r="I675" s="9" t="str">
        <f>TEXT(Data!$E675,"DDDD")</f>
        <v>Saturday</v>
      </c>
      <c r="J675" s="9" t="s">
        <v>14</v>
      </c>
      <c r="K675" s="23">
        <f>ROUND(Data!$G675,0)</f>
        <v>5</v>
      </c>
    </row>
    <row r="676" spans="1:11" ht="14.25" customHeight="1" x14ac:dyDescent="0.3">
      <c r="A676" s="9" t="s">
        <v>710</v>
      </c>
      <c r="B676" s="9" t="s">
        <v>29</v>
      </c>
      <c r="C676" s="2">
        <v>61</v>
      </c>
      <c r="D676" s="12" t="s">
        <v>24</v>
      </c>
      <c r="E676" s="3">
        <v>45157</v>
      </c>
      <c r="F676" s="15">
        <v>93</v>
      </c>
      <c r="G676" s="18">
        <v>2.7</v>
      </c>
      <c r="H676" s="9">
        <f>IF(MONTH(Data!$E676)&lt;=6, YEAR(Data!$E676), YEAR(Data!$E676)+1)</f>
        <v>2024</v>
      </c>
      <c r="I676" s="9" t="str">
        <f>TEXT(Data!$E676,"DDDD")</f>
        <v>Saturday</v>
      </c>
      <c r="J676" s="9" t="s">
        <v>14</v>
      </c>
      <c r="K676" s="23">
        <f>ROUND(Data!$G676,0)</f>
        <v>3</v>
      </c>
    </row>
    <row r="677" spans="1:11" ht="14.25" customHeight="1" x14ac:dyDescent="0.3">
      <c r="A677" s="9" t="s">
        <v>711</v>
      </c>
      <c r="B677" s="9" t="s">
        <v>23</v>
      </c>
      <c r="C677" s="2">
        <v>128</v>
      </c>
      <c r="D677" s="12" t="s">
        <v>24</v>
      </c>
      <c r="E677" s="3">
        <v>45157</v>
      </c>
      <c r="F677" s="15">
        <v>135</v>
      </c>
      <c r="G677" s="18">
        <v>2.1</v>
      </c>
      <c r="H677" s="9">
        <f>IF(MONTH(Data!$E677)&lt;=6, YEAR(Data!$E677), YEAR(Data!$E677)+1)</f>
        <v>2024</v>
      </c>
      <c r="I677" s="9" t="str">
        <f>TEXT(Data!$E677,"DDDD")</f>
        <v>Saturday</v>
      </c>
      <c r="J677" s="9" t="s">
        <v>25</v>
      </c>
      <c r="K677" s="23">
        <f>ROUND(Data!$G677,0)</f>
        <v>2</v>
      </c>
    </row>
    <row r="678" spans="1:11" ht="14.25" customHeight="1" x14ac:dyDescent="0.3">
      <c r="A678" s="9" t="s">
        <v>712</v>
      </c>
      <c r="B678" s="9" t="s">
        <v>58</v>
      </c>
      <c r="C678" s="2">
        <v>30</v>
      </c>
      <c r="D678" s="12" t="s">
        <v>13</v>
      </c>
      <c r="E678" s="3">
        <v>45157</v>
      </c>
      <c r="F678" s="15">
        <v>210</v>
      </c>
      <c r="G678" s="18">
        <v>4.2</v>
      </c>
      <c r="H678" s="9">
        <f>IF(MONTH(Data!$E678)&lt;=6, YEAR(Data!$E678), YEAR(Data!$E678)+1)</f>
        <v>2024</v>
      </c>
      <c r="I678" s="9" t="str">
        <f>TEXT(Data!$E678,"DDDD")</f>
        <v>Saturday</v>
      </c>
      <c r="J678" s="9" t="s">
        <v>47</v>
      </c>
      <c r="K678" s="23">
        <f>ROUND(Data!$G678,0)</f>
        <v>4</v>
      </c>
    </row>
    <row r="679" spans="1:11" ht="14.25" customHeight="1" x14ac:dyDescent="0.3">
      <c r="A679" s="9" t="s">
        <v>713</v>
      </c>
      <c r="B679" s="9" t="s">
        <v>88</v>
      </c>
      <c r="C679" s="2">
        <v>63</v>
      </c>
      <c r="D679" s="12" t="s">
        <v>24</v>
      </c>
      <c r="E679" s="3">
        <v>45158</v>
      </c>
      <c r="F679" s="15">
        <v>29</v>
      </c>
      <c r="G679" s="18">
        <v>4.7</v>
      </c>
      <c r="H679" s="9">
        <f>IF(MONTH(Data!$E679)&lt;=6, YEAR(Data!$E679), YEAR(Data!$E679)+1)</f>
        <v>2024</v>
      </c>
      <c r="I679" s="9" t="str">
        <f>TEXT(Data!$E679,"DDDD")</f>
        <v>Sunday</v>
      </c>
      <c r="J679" s="9" t="s">
        <v>14</v>
      </c>
      <c r="K679" s="23">
        <f>ROUND(Data!$G679,0)</f>
        <v>5</v>
      </c>
    </row>
    <row r="680" spans="1:11" ht="14.25" customHeight="1" x14ac:dyDescent="0.3">
      <c r="A680" s="9" t="s">
        <v>714</v>
      </c>
      <c r="B680" s="9" t="s">
        <v>40</v>
      </c>
      <c r="C680" s="2">
        <v>64</v>
      </c>
      <c r="D680" s="12" t="s">
        <v>35</v>
      </c>
      <c r="E680" s="3">
        <v>45158</v>
      </c>
      <c r="F680" s="15">
        <v>111</v>
      </c>
      <c r="G680" s="18">
        <v>3.9</v>
      </c>
      <c r="H680" s="9">
        <f>IF(MONTH(Data!$E680)&lt;=6, YEAR(Data!$E680), YEAR(Data!$E680)+1)</f>
        <v>2024</v>
      </c>
      <c r="I680" s="9" t="str">
        <f>TEXT(Data!$E680,"DDDD")</f>
        <v>Sunday</v>
      </c>
      <c r="J680" s="9" t="s">
        <v>14</v>
      </c>
      <c r="K680" s="23">
        <f>ROUND(Data!$G680,0)</f>
        <v>4</v>
      </c>
    </row>
    <row r="681" spans="1:11" ht="14.25" customHeight="1" x14ac:dyDescent="0.3">
      <c r="A681" s="9" t="s">
        <v>715</v>
      </c>
      <c r="B681" s="9" t="s">
        <v>21</v>
      </c>
      <c r="C681" s="2">
        <v>151</v>
      </c>
      <c r="D681" s="12" t="s">
        <v>19</v>
      </c>
      <c r="E681" s="3">
        <v>45159</v>
      </c>
      <c r="F681" s="15">
        <v>63</v>
      </c>
      <c r="G681" s="18">
        <v>4.0999999999999996</v>
      </c>
      <c r="H681" s="9">
        <f>IF(MONTH(Data!$E681)&lt;=6, YEAR(Data!$E681), YEAR(Data!$E681)+1)</f>
        <v>2024</v>
      </c>
      <c r="I681" s="9" t="str">
        <f>TEXT(Data!$E681,"DDDD")</f>
        <v>Monday</v>
      </c>
      <c r="J681" s="9" t="s">
        <v>25</v>
      </c>
      <c r="K681" s="23">
        <f>ROUND(Data!$G681,0)</f>
        <v>4</v>
      </c>
    </row>
    <row r="682" spans="1:11" ht="14.25" customHeight="1" x14ac:dyDescent="0.3">
      <c r="A682" s="9" t="s">
        <v>716</v>
      </c>
      <c r="B682" s="9" t="s">
        <v>68</v>
      </c>
      <c r="C682" s="2">
        <v>116</v>
      </c>
      <c r="D682" s="12" t="s">
        <v>31</v>
      </c>
      <c r="E682" s="3">
        <v>45159</v>
      </c>
      <c r="F682" s="15">
        <v>44</v>
      </c>
      <c r="G682" s="18">
        <v>3.8</v>
      </c>
      <c r="H682" s="9">
        <f>IF(MONTH(Data!$E682)&lt;=6, YEAR(Data!$E682), YEAR(Data!$E682)+1)</f>
        <v>2024</v>
      </c>
      <c r="I682" s="9" t="str">
        <f>TEXT(Data!$E682,"DDDD")</f>
        <v>Monday</v>
      </c>
      <c r="J682" s="9" t="s">
        <v>14</v>
      </c>
      <c r="K682" s="23">
        <f>ROUND(Data!$G682,0)</f>
        <v>4</v>
      </c>
    </row>
    <row r="683" spans="1:11" ht="14.25" customHeight="1" x14ac:dyDescent="0.3">
      <c r="A683" s="9" t="s">
        <v>717</v>
      </c>
      <c r="B683" s="9" t="s">
        <v>21</v>
      </c>
      <c r="C683" s="2">
        <v>111</v>
      </c>
      <c r="D683" s="12" t="s">
        <v>31</v>
      </c>
      <c r="E683" s="3">
        <v>45161</v>
      </c>
      <c r="F683" s="15">
        <v>120</v>
      </c>
      <c r="G683" s="18">
        <v>1.8</v>
      </c>
      <c r="H683" s="9">
        <f>IF(MONTH(Data!$E683)&lt;=6, YEAR(Data!$E683), YEAR(Data!$E683)+1)</f>
        <v>2024</v>
      </c>
      <c r="I683" s="9" t="str">
        <f>TEXT(Data!$E683,"DDDD")</f>
        <v>Wednesday</v>
      </c>
      <c r="J683" s="9" t="s">
        <v>14</v>
      </c>
      <c r="K683" s="23">
        <f>ROUND(Data!$G683,0)</f>
        <v>2</v>
      </c>
    </row>
    <row r="684" spans="1:11" ht="14.25" customHeight="1" x14ac:dyDescent="0.3">
      <c r="A684" s="9" t="s">
        <v>718</v>
      </c>
      <c r="B684" s="9" t="s">
        <v>23</v>
      </c>
      <c r="C684" s="2">
        <v>15</v>
      </c>
      <c r="D684" s="12" t="s">
        <v>31</v>
      </c>
      <c r="E684" s="3">
        <v>45161</v>
      </c>
      <c r="F684" s="15">
        <v>120</v>
      </c>
      <c r="G684" s="18">
        <v>4.0999999999999996</v>
      </c>
      <c r="H684" s="9">
        <f>IF(MONTH(Data!$E684)&lt;=6, YEAR(Data!$E684), YEAR(Data!$E684)+1)</f>
        <v>2024</v>
      </c>
      <c r="I684" s="9" t="str">
        <f>TEXT(Data!$E684,"DDDD")</f>
        <v>Wednesday</v>
      </c>
      <c r="J684" s="9" t="s">
        <v>47</v>
      </c>
      <c r="K684" s="23">
        <f>ROUND(Data!$G684,0)</f>
        <v>4</v>
      </c>
    </row>
    <row r="685" spans="1:11" ht="14.25" customHeight="1" x14ac:dyDescent="0.3">
      <c r="A685" s="9" t="s">
        <v>719</v>
      </c>
      <c r="B685" s="9" t="s">
        <v>40</v>
      </c>
      <c r="C685" s="2">
        <v>18</v>
      </c>
      <c r="D685" s="12" t="s">
        <v>19</v>
      </c>
      <c r="E685" s="3">
        <v>45162</v>
      </c>
      <c r="F685" s="15">
        <v>40</v>
      </c>
      <c r="G685" s="18">
        <v>4.4000000000000004</v>
      </c>
      <c r="H685" s="9">
        <f>IF(MONTH(Data!$E685)&lt;=6, YEAR(Data!$E685), YEAR(Data!$E685)+1)</f>
        <v>2024</v>
      </c>
      <c r="I685" s="9" t="str">
        <f>TEXT(Data!$E685,"DDDD")</f>
        <v>Thursday</v>
      </c>
      <c r="J685" s="9" t="s">
        <v>47</v>
      </c>
      <c r="K685" s="23">
        <f>ROUND(Data!$G685,0)</f>
        <v>4</v>
      </c>
    </row>
    <row r="686" spans="1:11" ht="14.25" customHeight="1" x14ac:dyDescent="0.3">
      <c r="A686" s="9" t="s">
        <v>720</v>
      </c>
      <c r="B686" s="9" t="s">
        <v>29</v>
      </c>
      <c r="C686" s="2">
        <v>146</v>
      </c>
      <c r="D686" s="12" t="s">
        <v>24</v>
      </c>
      <c r="E686" s="3">
        <v>45162</v>
      </c>
      <c r="F686" s="15">
        <v>160</v>
      </c>
      <c r="G686" s="18">
        <v>4.0999999999999996</v>
      </c>
      <c r="H686" s="9">
        <f>IF(MONTH(Data!$E686)&lt;=6, YEAR(Data!$E686), YEAR(Data!$E686)+1)</f>
        <v>2024</v>
      </c>
      <c r="I686" s="9" t="str">
        <f>TEXT(Data!$E686,"DDDD")</f>
        <v>Thursday</v>
      </c>
      <c r="J686" s="9" t="s">
        <v>25</v>
      </c>
      <c r="K686" s="23">
        <f>ROUND(Data!$G686,0)</f>
        <v>4</v>
      </c>
    </row>
    <row r="687" spans="1:11" ht="14.25" customHeight="1" x14ac:dyDescent="0.3">
      <c r="A687" s="9" t="s">
        <v>721</v>
      </c>
      <c r="B687" s="9" t="s">
        <v>58</v>
      </c>
      <c r="C687" s="2">
        <v>73</v>
      </c>
      <c r="D687" s="12" t="s">
        <v>31</v>
      </c>
      <c r="E687" s="3">
        <v>45163</v>
      </c>
      <c r="F687" s="15">
        <v>44</v>
      </c>
      <c r="G687" s="18">
        <v>3.8</v>
      </c>
      <c r="H687" s="9">
        <f>IF(MONTH(Data!$E687)&lt;=6, YEAR(Data!$E687), YEAR(Data!$E687)+1)</f>
        <v>2024</v>
      </c>
      <c r="I687" s="9" t="str">
        <f>TEXT(Data!$E687,"DDDD")</f>
        <v>Friday</v>
      </c>
      <c r="J687" s="9" t="s">
        <v>14</v>
      </c>
      <c r="K687" s="23">
        <f>ROUND(Data!$G687,0)</f>
        <v>4</v>
      </c>
    </row>
    <row r="688" spans="1:11" ht="14.25" customHeight="1" x14ac:dyDescent="0.3">
      <c r="A688" s="9" t="s">
        <v>722</v>
      </c>
      <c r="B688" s="9" t="s">
        <v>21</v>
      </c>
      <c r="C688" s="2">
        <v>108</v>
      </c>
      <c r="D688" s="12" t="s">
        <v>19</v>
      </c>
      <c r="E688" s="3">
        <v>45163</v>
      </c>
      <c r="F688" s="15">
        <v>80</v>
      </c>
      <c r="G688" s="18">
        <v>4.3</v>
      </c>
      <c r="H688" s="9">
        <f>IF(MONTH(Data!$E688)&lt;=6, YEAR(Data!$E688), YEAR(Data!$E688)+1)</f>
        <v>2024</v>
      </c>
      <c r="I688" s="9" t="str">
        <f>TEXT(Data!$E688,"DDDD")</f>
        <v>Friday</v>
      </c>
      <c r="J688" s="9" t="s">
        <v>14</v>
      </c>
      <c r="K688" s="23">
        <f>ROUND(Data!$G688,0)</f>
        <v>4</v>
      </c>
    </row>
    <row r="689" spans="1:11" ht="14.25" customHeight="1" x14ac:dyDescent="0.3">
      <c r="A689" s="9" t="s">
        <v>723</v>
      </c>
      <c r="B689" s="9" t="s">
        <v>50</v>
      </c>
      <c r="C689" s="2">
        <v>52</v>
      </c>
      <c r="D689" s="12" t="s">
        <v>19</v>
      </c>
      <c r="E689" s="3">
        <v>45164</v>
      </c>
      <c r="F689" s="15">
        <v>66</v>
      </c>
      <c r="G689" s="18">
        <v>4.5</v>
      </c>
      <c r="H689" s="9">
        <f>IF(MONTH(Data!$E689)&lt;=6, YEAR(Data!$E689), YEAR(Data!$E689)+1)</f>
        <v>2024</v>
      </c>
      <c r="I689" s="9" t="str">
        <f>TEXT(Data!$E689,"DDDD")</f>
        <v>Saturday</v>
      </c>
      <c r="J689" s="9" t="s">
        <v>27</v>
      </c>
      <c r="K689" s="23">
        <f>ROUND(Data!$G689,0)</f>
        <v>5</v>
      </c>
    </row>
    <row r="690" spans="1:11" ht="14.25" customHeight="1" x14ac:dyDescent="0.3">
      <c r="A690" s="9" t="s">
        <v>724</v>
      </c>
      <c r="B690" s="9" t="s">
        <v>68</v>
      </c>
      <c r="C690" s="2">
        <v>165</v>
      </c>
      <c r="D690" s="12" t="s">
        <v>35</v>
      </c>
      <c r="E690" s="3">
        <v>45164</v>
      </c>
      <c r="F690" s="15">
        <v>82</v>
      </c>
      <c r="G690" s="18">
        <v>3.4</v>
      </c>
      <c r="H690" s="9">
        <f>IF(MONTH(Data!$E690)&lt;=6, YEAR(Data!$E690), YEAR(Data!$E690)+1)</f>
        <v>2024</v>
      </c>
      <c r="I690" s="9" t="str">
        <f>TEXT(Data!$E690,"DDDD")</f>
        <v>Saturday</v>
      </c>
      <c r="J690" s="9" t="s">
        <v>25</v>
      </c>
      <c r="K690" s="23">
        <f>ROUND(Data!$G690,0)</f>
        <v>3</v>
      </c>
    </row>
    <row r="691" spans="1:11" ht="14.25" customHeight="1" x14ac:dyDescent="0.3">
      <c r="A691" s="9" t="s">
        <v>725</v>
      </c>
      <c r="B691" s="9" t="s">
        <v>29</v>
      </c>
      <c r="C691" s="2">
        <v>104</v>
      </c>
      <c r="D691" s="12" t="s">
        <v>31</v>
      </c>
      <c r="E691" s="3">
        <v>45164</v>
      </c>
      <c r="F691" s="15">
        <v>66</v>
      </c>
      <c r="G691" s="18">
        <v>4.8</v>
      </c>
      <c r="H691" s="9">
        <f>IF(MONTH(Data!$E691)&lt;=6, YEAR(Data!$E691), YEAR(Data!$E691)+1)</f>
        <v>2024</v>
      </c>
      <c r="I691" s="9" t="str">
        <f>TEXT(Data!$E691,"DDDD")</f>
        <v>Saturday</v>
      </c>
      <c r="J691" s="9" t="s">
        <v>14</v>
      </c>
      <c r="K691" s="23">
        <f>ROUND(Data!$G691,0)</f>
        <v>5</v>
      </c>
    </row>
    <row r="692" spans="1:11" ht="14.25" customHeight="1" x14ac:dyDescent="0.3">
      <c r="A692" s="9" t="s">
        <v>726</v>
      </c>
      <c r="B692" s="9" t="s">
        <v>58</v>
      </c>
      <c r="C692" s="2">
        <v>131</v>
      </c>
      <c r="D692" s="12" t="s">
        <v>24</v>
      </c>
      <c r="E692" s="3">
        <v>45164</v>
      </c>
      <c r="F692" s="15">
        <v>92</v>
      </c>
      <c r="G692" s="18">
        <v>4.9000000000000004</v>
      </c>
      <c r="H692" s="9">
        <f>IF(MONTH(Data!$E692)&lt;=6, YEAR(Data!$E692), YEAR(Data!$E692)+1)</f>
        <v>2024</v>
      </c>
      <c r="I692" s="9" t="str">
        <f>TEXT(Data!$E692,"DDDD")</f>
        <v>Saturday</v>
      </c>
      <c r="J692" s="9" t="s">
        <v>25</v>
      </c>
      <c r="K692" s="23">
        <f>ROUND(Data!$G692,0)</f>
        <v>5</v>
      </c>
    </row>
    <row r="693" spans="1:11" ht="14.25" customHeight="1" x14ac:dyDescent="0.3">
      <c r="A693" s="9" t="s">
        <v>727</v>
      </c>
      <c r="B693" s="9" t="s">
        <v>55</v>
      </c>
      <c r="C693" s="2">
        <v>80</v>
      </c>
      <c r="D693" s="12" t="s">
        <v>35</v>
      </c>
      <c r="E693" s="3">
        <v>45165</v>
      </c>
      <c r="F693" s="15">
        <v>104</v>
      </c>
      <c r="G693" s="18">
        <v>4.7</v>
      </c>
      <c r="H693" s="9">
        <f>IF(MONTH(Data!$E693)&lt;=6, YEAR(Data!$E693), YEAR(Data!$E693)+1)</f>
        <v>2024</v>
      </c>
      <c r="I693" s="9" t="str">
        <f>TEXT(Data!$E693,"DDDD")</f>
        <v>Sunday</v>
      </c>
      <c r="J693" s="9" t="s">
        <v>14</v>
      </c>
      <c r="K693" s="23">
        <f>ROUND(Data!$G693,0)</f>
        <v>5</v>
      </c>
    </row>
    <row r="694" spans="1:11" ht="14.25" customHeight="1" x14ac:dyDescent="0.3">
      <c r="A694" s="9" t="s">
        <v>728</v>
      </c>
      <c r="B694" s="9" t="s">
        <v>23</v>
      </c>
      <c r="C694" s="2">
        <v>49</v>
      </c>
      <c r="D694" s="12" t="s">
        <v>31</v>
      </c>
      <c r="E694" s="3">
        <v>45165</v>
      </c>
      <c r="F694" s="15">
        <v>105</v>
      </c>
      <c r="G694" s="18">
        <v>3.3</v>
      </c>
      <c r="H694" s="9">
        <f>IF(MONTH(Data!$E694)&lt;=6, YEAR(Data!$E694), YEAR(Data!$E694)+1)</f>
        <v>2024</v>
      </c>
      <c r="I694" s="9" t="str">
        <f>TEXT(Data!$E694,"DDDD")</f>
        <v>Sunday</v>
      </c>
      <c r="J694" s="9" t="s">
        <v>27</v>
      </c>
      <c r="K694" s="23">
        <f>ROUND(Data!$G694,0)</f>
        <v>3</v>
      </c>
    </row>
    <row r="695" spans="1:11" ht="14.25" customHeight="1" x14ac:dyDescent="0.3">
      <c r="A695" s="9" t="s">
        <v>729</v>
      </c>
      <c r="B695" s="9" t="s">
        <v>68</v>
      </c>
      <c r="C695" s="2">
        <v>73</v>
      </c>
      <c r="D695" s="12" t="s">
        <v>31</v>
      </c>
      <c r="E695" s="3">
        <v>45165</v>
      </c>
      <c r="F695" s="15">
        <v>100</v>
      </c>
      <c r="G695" s="18">
        <v>2.8</v>
      </c>
      <c r="H695" s="9">
        <f>IF(MONTH(Data!$E695)&lt;=6, YEAR(Data!$E695), YEAR(Data!$E695)+1)</f>
        <v>2024</v>
      </c>
      <c r="I695" s="9" t="str">
        <f>TEXT(Data!$E695,"DDDD")</f>
        <v>Sunday</v>
      </c>
      <c r="J695" s="9" t="s">
        <v>14</v>
      </c>
      <c r="K695" s="23">
        <f>ROUND(Data!$G695,0)</f>
        <v>3</v>
      </c>
    </row>
    <row r="696" spans="1:11" ht="14.25" customHeight="1" x14ac:dyDescent="0.3">
      <c r="A696" s="9" t="s">
        <v>730</v>
      </c>
      <c r="B696" s="9" t="s">
        <v>29</v>
      </c>
      <c r="C696" s="2">
        <v>117</v>
      </c>
      <c r="D696" s="12" t="s">
        <v>35</v>
      </c>
      <c r="E696" s="3">
        <v>45165</v>
      </c>
      <c r="F696" s="15">
        <v>90</v>
      </c>
      <c r="G696" s="18">
        <v>4.0999999999999996</v>
      </c>
      <c r="H696" s="9">
        <f>IF(MONTH(Data!$E696)&lt;=6, YEAR(Data!$E696), YEAR(Data!$E696)+1)</f>
        <v>2024</v>
      </c>
      <c r="I696" s="9" t="str">
        <f>TEXT(Data!$E696,"DDDD")</f>
        <v>Sunday</v>
      </c>
      <c r="J696" s="9" t="s">
        <v>14</v>
      </c>
      <c r="K696" s="23">
        <f>ROUND(Data!$G696,0)</f>
        <v>4</v>
      </c>
    </row>
    <row r="697" spans="1:11" ht="14.25" customHeight="1" x14ac:dyDescent="0.3">
      <c r="A697" s="9" t="s">
        <v>731</v>
      </c>
      <c r="B697" s="9" t="s">
        <v>18</v>
      </c>
      <c r="C697" s="2">
        <v>38</v>
      </c>
      <c r="D697" s="12" t="s">
        <v>13</v>
      </c>
      <c r="E697" s="3">
        <v>45165</v>
      </c>
      <c r="F697" s="15">
        <v>110</v>
      </c>
      <c r="G697" s="18">
        <v>3.5</v>
      </c>
      <c r="H697" s="9">
        <f>IF(MONTH(Data!$E697)&lt;=6, YEAR(Data!$E697), YEAR(Data!$E697)+1)</f>
        <v>2024</v>
      </c>
      <c r="I697" s="9" t="str">
        <f>TEXT(Data!$E697,"DDDD")</f>
        <v>Sunday</v>
      </c>
      <c r="J697" s="9" t="s">
        <v>27</v>
      </c>
      <c r="K697" s="23">
        <f>ROUND(Data!$G697,0)</f>
        <v>4</v>
      </c>
    </row>
    <row r="698" spans="1:11" ht="14.25" customHeight="1" x14ac:dyDescent="0.3">
      <c r="A698" s="9" t="s">
        <v>732</v>
      </c>
      <c r="B698" s="9" t="s">
        <v>50</v>
      </c>
      <c r="C698" s="2">
        <v>109</v>
      </c>
      <c r="D698" s="12" t="s">
        <v>35</v>
      </c>
      <c r="E698" s="3">
        <v>45167</v>
      </c>
      <c r="F698" s="15">
        <v>68</v>
      </c>
      <c r="G698" s="18">
        <v>2.2999999999999998</v>
      </c>
      <c r="H698" s="9">
        <f>IF(MONTH(Data!$E698)&lt;=6, YEAR(Data!$E698), YEAR(Data!$E698)+1)</f>
        <v>2024</v>
      </c>
      <c r="I698" s="9" t="str">
        <f>TEXT(Data!$E698,"DDDD")</f>
        <v>Tuesday</v>
      </c>
      <c r="J698" s="9" t="s">
        <v>14</v>
      </c>
      <c r="K698" s="23">
        <f>ROUND(Data!$G698,0)</f>
        <v>2</v>
      </c>
    </row>
    <row r="699" spans="1:11" ht="14.25" customHeight="1" x14ac:dyDescent="0.3">
      <c r="A699" s="9" t="s">
        <v>733</v>
      </c>
      <c r="B699" s="9" t="s">
        <v>23</v>
      </c>
      <c r="C699" s="2">
        <v>70</v>
      </c>
      <c r="D699" s="12" t="s">
        <v>19</v>
      </c>
      <c r="E699" s="3">
        <v>45168</v>
      </c>
      <c r="F699" s="15">
        <v>210</v>
      </c>
      <c r="G699" s="18">
        <v>4.0999999999999996</v>
      </c>
      <c r="H699" s="9">
        <f>IF(MONTH(Data!$E699)&lt;=6, YEAR(Data!$E699), YEAR(Data!$E699)+1)</f>
        <v>2024</v>
      </c>
      <c r="I699" s="9" t="str">
        <f>TEXT(Data!$E699,"DDDD")</f>
        <v>Wednesday</v>
      </c>
      <c r="J699" s="9" t="s">
        <v>14</v>
      </c>
      <c r="K699" s="23">
        <f>ROUND(Data!$G699,0)</f>
        <v>4</v>
      </c>
    </row>
    <row r="700" spans="1:11" ht="14.25" customHeight="1" x14ac:dyDescent="0.3">
      <c r="A700" s="9" t="s">
        <v>734</v>
      </c>
      <c r="B700" s="9" t="s">
        <v>16</v>
      </c>
      <c r="C700" s="2">
        <v>51</v>
      </c>
      <c r="D700" s="12" t="s">
        <v>13</v>
      </c>
      <c r="E700" s="3">
        <v>45168</v>
      </c>
      <c r="F700" s="15">
        <v>111</v>
      </c>
      <c r="G700" s="18">
        <v>4.3</v>
      </c>
      <c r="H700" s="9">
        <f>IF(MONTH(Data!$E700)&lt;=6, YEAR(Data!$E700), YEAR(Data!$E700)+1)</f>
        <v>2024</v>
      </c>
      <c r="I700" s="9" t="str">
        <f>TEXT(Data!$E700,"DDDD")</f>
        <v>Wednesday</v>
      </c>
      <c r="J700" s="9" t="s">
        <v>27</v>
      </c>
      <c r="K700" s="23">
        <f>ROUND(Data!$G700,0)</f>
        <v>4</v>
      </c>
    </row>
    <row r="701" spans="1:11" ht="14.25" customHeight="1" x14ac:dyDescent="0.3">
      <c r="A701" s="9" t="s">
        <v>735</v>
      </c>
      <c r="B701" s="9" t="s">
        <v>16</v>
      </c>
      <c r="C701" s="2">
        <v>100</v>
      </c>
      <c r="D701" s="12" t="s">
        <v>19</v>
      </c>
      <c r="E701" s="3">
        <v>45169</v>
      </c>
      <c r="F701" s="15">
        <v>45</v>
      </c>
      <c r="G701" s="18">
        <v>4.9000000000000004</v>
      </c>
      <c r="H701" s="9">
        <f>IF(MONTH(Data!$E701)&lt;=6, YEAR(Data!$E701), YEAR(Data!$E701)+1)</f>
        <v>2024</v>
      </c>
      <c r="I701" s="9" t="str">
        <f>TEXT(Data!$E701,"DDDD")</f>
        <v>Thursday</v>
      </c>
      <c r="J701" s="9" t="s">
        <v>14</v>
      </c>
      <c r="K701" s="23">
        <f>ROUND(Data!$G701,0)</f>
        <v>5</v>
      </c>
    </row>
    <row r="702" spans="1:11" ht="14.25" customHeight="1" x14ac:dyDescent="0.3">
      <c r="A702" s="9" t="s">
        <v>736</v>
      </c>
      <c r="B702" s="9" t="s">
        <v>38</v>
      </c>
      <c r="C702" s="2">
        <v>124</v>
      </c>
      <c r="D702" s="12" t="s">
        <v>13</v>
      </c>
      <c r="E702" s="3">
        <v>45170</v>
      </c>
      <c r="F702" s="15">
        <v>132</v>
      </c>
      <c r="G702" s="18">
        <v>4</v>
      </c>
      <c r="H702" s="9">
        <f>IF(MONTH(Data!$E702)&lt;=6, YEAR(Data!$E702), YEAR(Data!$E702)+1)</f>
        <v>2024</v>
      </c>
      <c r="I702" s="9" t="str">
        <f>TEXT(Data!$E702,"DDDD")</f>
        <v>Friday</v>
      </c>
      <c r="J702" s="9" t="s">
        <v>25</v>
      </c>
      <c r="K702" s="23">
        <f>ROUND(Data!$G702,0)</f>
        <v>4</v>
      </c>
    </row>
    <row r="703" spans="1:11" ht="14.25" customHeight="1" x14ac:dyDescent="0.3">
      <c r="A703" s="9" t="s">
        <v>737</v>
      </c>
      <c r="B703" s="9" t="s">
        <v>12</v>
      </c>
      <c r="C703" s="2">
        <v>143</v>
      </c>
      <c r="D703" s="12" t="s">
        <v>35</v>
      </c>
      <c r="E703" s="3">
        <v>45170</v>
      </c>
      <c r="F703" s="15">
        <v>20</v>
      </c>
      <c r="G703" s="18">
        <v>4.7</v>
      </c>
      <c r="H703" s="9">
        <f>IF(MONTH(Data!$E703)&lt;=6, YEAR(Data!$E703), YEAR(Data!$E703)+1)</f>
        <v>2024</v>
      </c>
      <c r="I703" s="9" t="str">
        <f>TEXT(Data!$E703,"DDDD")</f>
        <v>Friday</v>
      </c>
      <c r="J703" s="9" t="s">
        <v>25</v>
      </c>
      <c r="K703" s="23">
        <f>ROUND(Data!$G703,0)</f>
        <v>5</v>
      </c>
    </row>
    <row r="704" spans="1:11" ht="14.25" customHeight="1" x14ac:dyDescent="0.3">
      <c r="A704" s="9" t="s">
        <v>738</v>
      </c>
      <c r="B704" s="9" t="s">
        <v>34</v>
      </c>
      <c r="C704" s="2">
        <v>96</v>
      </c>
      <c r="D704" s="12" t="s">
        <v>31</v>
      </c>
      <c r="E704" s="3">
        <v>45170</v>
      </c>
      <c r="F704" s="15">
        <v>36</v>
      </c>
      <c r="G704" s="18">
        <v>3.4</v>
      </c>
      <c r="H704" s="9">
        <f>IF(MONTH(Data!$E704)&lt;=6, YEAR(Data!$E704), YEAR(Data!$E704)+1)</f>
        <v>2024</v>
      </c>
      <c r="I704" s="9" t="str">
        <f>TEXT(Data!$E704,"DDDD")</f>
        <v>Friday</v>
      </c>
      <c r="J704" s="9" t="s">
        <v>14</v>
      </c>
      <c r="K704" s="23">
        <f>ROUND(Data!$G704,0)</f>
        <v>3</v>
      </c>
    </row>
    <row r="705" spans="1:11" ht="14.25" customHeight="1" x14ac:dyDescent="0.3">
      <c r="A705" s="9" t="s">
        <v>739</v>
      </c>
      <c r="B705" s="9" t="s">
        <v>68</v>
      </c>
      <c r="C705" s="2">
        <v>84</v>
      </c>
      <c r="D705" s="12" t="s">
        <v>19</v>
      </c>
      <c r="E705" s="3">
        <v>45172</v>
      </c>
      <c r="F705" s="15">
        <v>72</v>
      </c>
      <c r="G705" s="18">
        <v>4</v>
      </c>
      <c r="H705" s="9">
        <f>IF(MONTH(Data!$E705)&lt;=6, YEAR(Data!$E705), YEAR(Data!$E705)+1)</f>
        <v>2024</v>
      </c>
      <c r="I705" s="9" t="str">
        <f>TEXT(Data!$E705,"DDDD")</f>
        <v>Sunday</v>
      </c>
      <c r="J705" s="9" t="s">
        <v>14</v>
      </c>
      <c r="K705" s="23">
        <f>ROUND(Data!$G705,0)</f>
        <v>4</v>
      </c>
    </row>
    <row r="706" spans="1:11" ht="14.25" customHeight="1" x14ac:dyDescent="0.3">
      <c r="A706" s="9" t="s">
        <v>740</v>
      </c>
      <c r="B706" s="9" t="s">
        <v>46</v>
      </c>
      <c r="C706" s="2">
        <v>111</v>
      </c>
      <c r="D706" s="12" t="s">
        <v>19</v>
      </c>
      <c r="E706" s="3">
        <v>45172</v>
      </c>
      <c r="F706" s="15">
        <v>63</v>
      </c>
      <c r="G706" s="18">
        <v>4.5</v>
      </c>
      <c r="H706" s="9">
        <f>IF(MONTH(Data!$E706)&lt;=6, YEAR(Data!$E706), YEAR(Data!$E706)+1)</f>
        <v>2024</v>
      </c>
      <c r="I706" s="9" t="str">
        <f>TEXT(Data!$E706,"DDDD")</f>
        <v>Sunday</v>
      </c>
      <c r="J706" s="9" t="s">
        <v>14</v>
      </c>
      <c r="K706" s="23">
        <f>ROUND(Data!$G706,0)</f>
        <v>5</v>
      </c>
    </row>
    <row r="707" spans="1:11" ht="14.25" customHeight="1" x14ac:dyDescent="0.3">
      <c r="A707" s="9" t="s">
        <v>741</v>
      </c>
      <c r="B707" s="9" t="s">
        <v>46</v>
      </c>
      <c r="C707" s="2">
        <v>103</v>
      </c>
      <c r="D707" s="12" t="s">
        <v>13</v>
      </c>
      <c r="E707" s="3">
        <v>45173</v>
      </c>
      <c r="F707" s="15">
        <v>44</v>
      </c>
      <c r="G707" s="18">
        <v>4.5</v>
      </c>
      <c r="H707" s="9">
        <f>IF(MONTH(Data!$E707)&lt;=6, YEAR(Data!$E707), YEAR(Data!$E707)+1)</f>
        <v>2024</v>
      </c>
      <c r="I707" s="9" t="str">
        <f>TEXT(Data!$E707,"DDDD")</f>
        <v>Monday</v>
      </c>
      <c r="J707" s="9" t="s">
        <v>14</v>
      </c>
      <c r="K707" s="23">
        <f>ROUND(Data!$G707,0)</f>
        <v>5</v>
      </c>
    </row>
    <row r="708" spans="1:11" ht="14.25" customHeight="1" x14ac:dyDescent="0.3">
      <c r="A708" s="9" t="s">
        <v>742</v>
      </c>
      <c r="B708" s="9" t="s">
        <v>12</v>
      </c>
      <c r="C708" s="2">
        <v>61</v>
      </c>
      <c r="D708" s="12" t="s">
        <v>24</v>
      </c>
      <c r="E708" s="3">
        <v>45173</v>
      </c>
      <c r="F708" s="15">
        <v>132</v>
      </c>
      <c r="G708" s="18">
        <v>4.9000000000000004</v>
      </c>
      <c r="H708" s="9">
        <f>IF(MONTH(Data!$E708)&lt;=6, YEAR(Data!$E708), YEAR(Data!$E708)+1)</f>
        <v>2024</v>
      </c>
      <c r="I708" s="9" t="str">
        <f>TEXT(Data!$E708,"DDDD")</f>
        <v>Monday</v>
      </c>
      <c r="J708" s="9" t="s">
        <v>14</v>
      </c>
      <c r="K708" s="23">
        <f>ROUND(Data!$G708,0)</f>
        <v>5</v>
      </c>
    </row>
    <row r="709" spans="1:11" ht="14.25" customHeight="1" x14ac:dyDescent="0.3">
      <c r="A709" s="9" t="s">
        <v>743</v>
      </c>
      <c r="B709" s="9" t="s">
        <v>58</v>
      </c>
      <c r="C709" s="2">
        <v>113</v>
      </c>
      <c r="D709" s="12" t="s">
        <v>31</v>
      </c>
      <c r="E709" s="3">
        <v>45173</v>
      </c>
      <c r="F709" s="15">
        <v>46</v>
      </c>
      <c r="G709" s="18">
        <v>4.4000000000000004</v>
      </c>
      <c r="H709" s="9">
        <f>IF(MONTH(Data!$E709)&lt;=6, YEAR(Data!$E709), YEAR(Data!$E709)+1)</f>
        <v>2024</v>
      </c>
      <c r="I709" s="9" t="str">
        <f>TEXT(Data!$E709,"DDDD")</f>
        <v>Monday</v>
      </c>
      <c r="J709" s="9" t="s">
        <v>14</v>
      </c>
      <c r="K709" s="23">
        <f>ROUND(Data!$G709,0)</f>
        <v>4</v>
      </c>
    </row>
    <row r="710" spans="1:11" ht="14.25" customHeight="1" x14ac:dyDescent="0.3">
      <c r="A710" s="9" t="s">
        <v>744</v>
      </c>
      <c r="B710" s="9" t="s">
        <v>58</v>
      </c>
      <c r="C710" s="2">
        <v>96</v>
      </c>
      <c r="D710" s="12" t="s">
        <v>31</v>
      </c>
      <c r="E710" s="3">
        <v>45173</v>
      </c>
      <c r="F710" s="15">
        <v>96</v>
      </c>
      <c r="G710" s="18">
        <v>2.9</v>
      </c>
      <c r="H710" s="9">
        <f>IF(MONTH(Data!$E710)&lt;=6, YEAR(Data!$E710), YEAR(Data!$E710)+1)</f>
        <v>2024</v>
      </c>
      <c r="I710" s="9" t="str">
        <f>TEXT(Data!$E710,"DDDD")</f>
        <v>Monday</v>
      </c>
      <c r="J710" s="9" t="s">
        <v>14</v>
      </c>
      <c r="K710" s="23">
        <f>ROUND(Data!$G710,0)</f>
        <v>3</v>
      </c>
    </row>
    <row r="711" spans="1:11" ht="14.25" customHeight="1" x14ac:dyDescent="0.3">
      <c r="A711" s="9" t="s">
        <v>745</v>
      </c>
      <c r="B711" s="9" t="s">
        <v>40</v>
      </c>
      <c r="C711" s="2">
        <v>131</v>
      </c>
      <c r="D711" s="12" t="s">
        <v>13</v>
      </c>
      <c r="E711" s="3">
        <v>45174</v>
      </c>
      <c r="F711" s="15">
        <v>75</v>
      </c>
      <c r="G711" s="18">
        <v>4.4000000000000004</v>
      </c>
      <c r="H711" s="9">
        <f>IF(MONTH(Data!$E711)&lt;=6, YEAR(Data!$E711), YEAR(Data!$E711)+1)</f>
        <v>2024</v>
      </c>
      <c r="I711" s="9" t="str">
        <f>TEXT(Data!$E711,"DDDD")</f>
        <v>Tuesday</v>
      </c>
      <c r="J711" s="9" t="s">
        <v>25</v>
      </c>
      <c r="K711" s="23">
        <f>ROUND(Data!$G711,0)</f>
        <v>4</v>
      </c>
    </row>
    <row r="712" spans="1:11" ht="14.25" customHeight="1" x14ac:dyDescent="0.3">
      <c r="A712" s="9" t="s">
        <v>746</v>
      </c>
      <c r="B712" s="9" t="s">
        <v>29</v>
      </c>
      <c r="C712" s="2">
        <v>52</v>
      </c>
      <c r="D712" s="12" t="s">
        <v>31</v>
      </c>
      <c r="E712" s="3">
        <v>45175</v>
      </c>
      <c r="F712" s="15">
        <v>88</v>
      </c>
      <c r="G712" s="18">
        <v>4.3</v>
      </c>
      <c r="H712" s="9">
        <f>IF(MONTH(Data!$E712)&lt;=6, YEAR(Data!$E712), YEAR(Data!$E712)+1)</f>
        <v>2024</v>
      </c>
      <c r="I712" s="9" t="str">
        <f>TEXT(Data!$E712,"DDDD")</f>
        <v>Wednesday</v>
      </c>
      <c r="J712" s="9" t="s">
        <v>27</v>
      </c>
      <c r="K712" s="23">
        <f>ROUND(Data!$G712,0)</f>
        <v>4</v>
      </c>
    </row>
    <row r="713" spans="1:11" ht="14.25" customHeight="1" x14ac:dyDescent="0.3">
      <c r="A713" s="9" t="s">
        <v>747</v>
      </c>
      <c r="B713" s="9" t="s">
        <v>16</v>
      </c>
      <c r="C713" s="2">
        <v>100</v>
      </c>
      <c r="D713" s="12" t="s">
        <v>13</v>
      </c>
      <c r="E713" s="3">
        <v>45175</v>
      </c>
      <c r="F713" s="15">
        <v>24</v>
      </c>
      <c r="G713" s="18">
        <v>4.7</v>
      </c>
      <c r="H713" s="9">
        <f>IF(MONTH(Data!$E713)&lt;=6, YEAR(Data!$E713), YEAR(Data!$E713)+1)</f>
        <v>2024</v>
      </c>
      <c r="I713" s="9" t="str">
        <f>TEXT(Data!$E713,"DDDD")</f>
        <v>Wednesday</v>
      </c>
      <c r="J713" s="9" t="s">
        <v>14</v>
      </c>
      <c r="K713" s="23">
        <f>ROUND(Data!$G713,0)</f>
        <v>5</v>
      </c>
    </row>
    <row r="714" spans="1:11" ht="14.25" customHeight="1" x14ac:dyDescent="0.3">
      <c r="A714" s="9" t="s">
        <v>748</v>
      </c>
      <c r="B714" s="9" t="s">
        <v>21</v>
      </c>
      <c r="C714" s="2">
        <v>58</v>
      </c>
      <c r="D714" s="12" t="s">
        <v>35</v>
      </c>
      <c r="E714" s="3">
        <v>45175</v>
      </c>
      <c r="F714" s="15">
        <v>96</v>
      </c>
      <c r="G714" s="18">
        <v>3.2</v>
      </c>
      <c r="H714" s="9">
        <f>IF(MONTH(Data!$E714)&lt;=6, YEAR(Data!$E714), YEAR(Data!$E714)+1)</f>
        <v>2024</v>
      </c>
      <c r="I714" s="9" t="str">
        <f>TEXT(Data!$E714,"DDDD")</f>
        <v>Wednesday</v>
      </c>
      <c r="J714" s="9" t="s">
        <v>27</v>
      </c>
      <c r="K714" s="23">
        <f>ROUND(Data!$G714,0)</f>
        <v>3</v>
      </c>
    </row>
    <row r="715" spans="1:11" ht="14.25" customHeight="1" x14ac:dyDescent="0.3">
      <c r="A715" s="9" t="s">
        <v>749</v>
      </c>
      <c r="B715" s="9" t="s">
        <v>23</v>
      </c>
      <c r="C715" s="2">
        <v>144</v>
      </c>
      <c r="D715" s="12" t="s">
        <v>35</v>
      </c>
      <c r="E715" s="3">
        <v>45176</v>
      </c>
      <c r="F715" s="15">
        <v>124</v>
      </c>
      <c r="G715" s="18">
        <v>2.2999999999999998</v>
      </c>
      <c r="H715" s="9">
        <f>IF(MONTH(Data!$E715)&lt;=6, YEAR(Data!$E715), YEAR(Data!$E715)+1)</f>
        <v>2024</v>
      </c>
      <c r="I715" s="9" t="str">
        <f>TEXT(Data!$E715,"DDDD")</f>
        <v>Thursday</v>
      </c>
      <c r="J715" s="9" t="s">
        <v>25</v>
      </c>
      <c r="K715" s="23">
        <f>ROUND(Data!$G715,0)</f>
        <v>2</v>
      </c>
    </row>
    <row r="716" spans="1:11" ht="14.25" customHeight="1" x14ac:dyDescent="0.3">
      <c r="A716" s="9" t="s">
        <v>750</v>
      </c>
      <c r="B716" s="9" t="s">
        <v>21</v>
      </c>
      <c r="C716" s="2">
        <v>53</v>
      </c>
      <c r="D716" s="12" t="s">
        <v>24</v>
      </c>
      <c r="E716" s="3">
        <v>45177</v>
      </c>
      <c r="F716" s="15">
        <v>130</v>
      </c>
      <c r="G716" s="18">
        <v>3.6</v>
      </c>
      <c r="H716" s="9">
        <f>IF(MONTH(Data!$E716)&lt;=6, YEAR(Data!$E716), YEAR(Data!$E716)+1)</f>
        <v>2024</v>
      </c>
      <c r="I716" s="9" t="str">
        <f>TEXT(Data!$E716,"DDDD")</f>
        <v>Friday</v>
      </c>
      <c r="J716" s="9" t="s">
        <v>27</v>
      </c>
      <c r="K716" s="23">
        <f>ROUND(Data!$G716,0)</f>
        <v>4</v>
      </c>
    </row>
    <row r="717" spans="1:11" ht="14.25" customHeight="1" x14ac:dyDescent="0.3">
      <c r="A717" s="9" t="s">
        <v>751</v>
      </c>
      <c r="B717" s="9" t="s">
        <v>58</v>
      </c>
      <c r="C717" s="2">
        <v>97</v>
      </c>
      <c r="D717" s="12" t="s">
        <v>19</v>
      </c>
      <c r="E717" s="3">
        <v>45177</v>
      </c>
      <c r="F717" s="15">
        <v>45</v>
      </c>
      <c r="G717" s="18">
        <v>4.5999999999999996</v>
      </c>
      <c r="H717" s="9">
        <f>IF(MONTH(Data!$E717)&lt;=6, YEAR(Data!$E717), YEAR(Data!$E717)+1)</f>
        <v>2024</v>
      </c>
      <c r="I717" s="9" t="str">
        <f>TEXT(Data!$E717,"DDDD")</f>
        <v>Friday</v>
      </c>
      <c r="J717" s="9" t="s">
        <v>14</v>
      </c>
      <c r="K717" s="23">
        <f>ROUND(Data!$G717,0)</f>
        <v>5</v>
      </c>
    </row>
    <row r="718" spans="1:11" ht="14.25" customHeight="1" x14ac:dyDescent="0.3">
      <c r="A718" s="9" t="s">
        <v>752</v>
      </c>
      <c r="B718" s="9" t="s">
        <v>18</v>
      </c>
      <c r="C718" s="2">
        <v>64</v>
      </c>
      <c r="D718" s="12" t="s">
        <v>35</v>
      </c>
      <c r="E718" s="3">
        <v>45177</v>
      </c>
      <c r="F718" s="15">
        <v>66</v>
      </c>
      <c r="G718" s="18">
        <v>4</v>
      </c>
      <c r="H718" s="9">
        <f>IF(MONTH(Data!$E718)&lt;=6, YEAR(Data!$E718), YEAR(Data!$E718)+1)</f>
        <v>2024</v>
      </c>
      <c r="I718" s="9" t="str">
        <f>TEXT(Data!$E718,"DDDD")</f>
        <v>Friday</v>
      </c>
      <c r="J718" s="9" t="s">
        <v>14</v>
      </c>
      <c r="K718" s="23">
        <f>ROUND(Data!$G718,0)</f>
        <v>4</v>
      </c>
    </row>
    <row r="719" spans="1:11" ht="14.25" customHeight="1" x14ac:dyDescent="0.3">
      <c r="A719" s="9" t="s">
        <v>753</v>
      </c>
      <c r="B719" s="9" t="s">
        <v>12</v>
      </c>
      <c r="C719" s="2">
        <v>106</v>
      </c>
      <c r="D719" s="12" t="s">
        <v>13</v>
      </c>
      <c r="E719" s="3">
        <v>45177</v>
      </c>
      <c r="F719" s="15">
        <v>58</v>
      </c>
      <c r="G719" s="18">
        <v>4.7</v>
      </c>
      <c r="H719" s="9">
        <f>IF(MONTH(Data!$E719)&lt;=6, YEAR(Data!$E719), YEAR(Data!$E719)+1)</f>
        <v>2024</v>
      </c>
      <c r="I719" s="9" t="str">
        <f>TEXT(Data!$E719,"DDDD")</f>
        <v>Friday</v>
      </c>
      <c r="J719" s="9" t="s">
        <v>14</v>
      </c>
      <c r="K719" s="23">
        <f>ROUND(Data!$G719,0)</f>
        <v>5</v>
      </c>
    </row>
    <row r="720" spans="1:11" ht="14.25" customHeight="1" x14ac:dyDescent="0.3">
      <c r="A720" s="9" t="s">
        <v>754</v>
      </c>
      <c r="B720" s="9" t="s">
        <v>68</v>
      </c>
      <c r="C720" s="2">
        <v>36</v>
      </c>
      <c r="D720" s="12" t="s">
        <v>35</v>
      </c>
      <c r="E720" s="3">
        <v>45178</v>
      </c>
      <c r="F720" s="15">
        <v>152</v>
      </c>
      <c r="G720" s="18">
        <v>4.3</v>
      </c>
      <c r="H720" s="9">
        <f>IF(MONTH(Data!$E720)&lt;=6, YEAR(Data!$E720), YEAR(Data!$E720)+1)</f>
        <v>2024</v>
      </c>
      <c r="I720" s="9" t="str">
        <f>TEXT(Data!$E720,"DDDD")</f>
        <v>Saturday</v>
      </c>
      <c r="J720" s="9" t="s">
        <v>27</v>
      </c>
      <c r="K720" s="23">
        <f>ROUND(Data!$G720,0)</f>
        <v>4</v>
      </c>
    </row>
    <row r="721" spans="1:11" ht="14.25" customHeight="1" x14ac:dyDescent="0.3">
      <c r="A721" s="9" t="s">
        <v>755</v>
      </c>
      <c r="B721" s="9" t="s">
        <v>23</v>
      </c>
      <c r="C721" s="2">
        <v>74</v>
      </c>
      <c r="D721" s="12" t="s">
        <v>31</v>
      </c>
      <c r="E721" s="3">
        <v>45178</v>
      </c>
      <c r="F721" s="15">
        <v>75</v>
      </c>
      <c r="G721" s="18">
        <v>2.8</v>
      </c>
      <c r="H721" s="9">
        <f>IF(MONTH(Data!$E721)&lt;=6, YEAR(Data!$E721), YEAR(Data!$E721)+1)</f>
        <v>2024</v>
      </c>
      <c r="I721" s="9" t="str">
        <f>TEXT(Data!$E721,"DDDD")</f>
        <v>Saturday</v>
      </c>
      <c r="J721" s="9" t="s">
        <v>14</v>
      </c>
      <c r="K721" s="23">
        <f>ROUND(Data!$G721,0)</f>
        <v>3</v>
      </c>
    </row>
    <row r="722" spans="1:11" ht="14.25" customHeight="1" x14ac:dyDescent="0.3">
      <c r="A722" s="9" t="s">
        <v>756</v>
      </c>
      <c r="B722" s="9" t="s">
        <v>50</v>
      </c>
      <c r="C722" s="2">
        <v>143</v>
      </c>
      <c r="D722" s="12" t="s">
        <v>19</v>
      </c>
      <c r="E722" s="3">
        <v>45178</v>
      </c>
      <c r="F722" s="15">
        <v>78</v>
      </c>
      <c r="G722" s="18">
        <v>4</v>
      </c>
      <c r="H722" s="9">
        <f>IF(MONTH(Data!$E722)&lt;=6, YEAR(Data!$E722), YEAR(Data!$E722)+1)</f>
        <v>2024</v>
      </c>
      <c r="I722" s="9" t="str">
        <f>TEXT(Data!$E722,"DDDD")</f>
        <v>Saturday</v>
      </c>
      <c r="J722" s="9" t="s">
        <v>25</v>
      </c>
      <c r="K722" s="23">
        <f>ROUND(Data!$G722,0)</f>
        <v>4</v>
      </c>
    </row>
    <row r="723" spans="1:11" ht="14.25" customHeight="1" x14ac:dyDescent="0.3">
      <c r="A723" s="9" t="s">
        <v>757</v>
      </c>
      <c r="B723" s="9" t="s">
        <v>12</v>
      </c>
      <c r="C723" s="2">
        <v>94</v>
      </c>
      <c r="D723" s="12" t="s">
        <v>24</v>
      </c>
      <c r="E723" s="3">
        <v>45178</v>
      </c>
      <c r="F723" s="15">
        <v>69</v>
      </c>
      <c r="G723" s="18">
        <v>3.9</v>
      </c>
      <c r="H723" s="9">
        <f>IF(MONTH(Data!$E723)&lt;=6, YEAR(Data!$E723), YEAR(Data!$E723)+1)</f>
        <v>2024</v>
      </c>
      <c r="I723" s="9" t="str">
        <f>TEXT(Data!$E723,"DDDD")</f>
        <v>Saturday</v>
      </c>
      <c r="J723" s="9" t="s">
        <v>14</v>
      </c>
      <c r="K723" s="23">
        <f>ROUND(Data!$G723,0)</f>
        <v>4</v>
      </c>
    </row>
    <row r="724" spans="1:11" ht="14.25" customHeight="1" x14ac:dyDescent="0.3">
      <c r="A724" s="9" t="s">
        <v>758</v>
      </c>
      <c r="B724" s="9" t="s">
        <v>55</v>
      </c>
      <c r="C724" s="2">
        <v>124</v>
      </c>
      <c r="D724" s="12" t="s">
        <v>13</v>
      </c>
      <c r="E724" s="3">
        <v>45179</v>
      </c>
      <c r="F724" s="15">
        <v>46</v>
      </c>
      <c r="G724" s="18">
        <v>3.1</v>
      </c>
      <c r="H724" s="9">
        <f>IF(MONTH(Data!$E724)&lt;=6, YEAR(Data!$E724), YEAR(Data!$E724)+1)</f>
        <v>2024</v>
      </c>
      <c r="I724" s="9" t="str">
        <f>TEXT(Data!$E724,"DDDD")</f>
        <v>Sunday</v>
      </c>
      <c r="J724" s="9" t="s">
        <v>25</v>
      </c>
      <c r="K724" s="23">
        <f>ROUND(Data!$G724,0)</f>
        <v>3</v>
      </c>
    </row>
    <row r="725" spans="1:11" ht="14.25" customHeight="1" x14ac:dyDescent="0.3">
      <c r="A725" s="9" t="s">
        <v>759</v>
      </c>
      <c r="B725" s="9" t="s">
        <v>68</v>
      </c>
      <c r="C725" s="2">
        <v>156</v>
      </c>
      <c r="D725" s="12" t="s">
        <v>35</v>
      </c>
      <c r="E725" s="3">
        <v>45179</v>
      </c>
      <c r="F725" s="15">
        <v>64</v>
      </c>
      <c r="G725" s="18">
        <v>2.7</v>
      </c>
      <c r="H725" s="9">
        <f>IF(MONTH(Data!$E725)&lt;=6, YEAR(Data!$E725), YEAR(Data!$E725)+1)</f>
        <v>2024</v>
      </c>
      <c r="I725" s="9" t="str">
        <f>TEXT(Data!$E725,"DDDD")</f>
        <v>Sunday</v>
      </c>
      <c r="J725" s="9" t="s">
        <v>25</v>
      </c>
      <c r="K725" s="23">
        <f>ROUND(Data!$G725,0)</f>
        <v>3</v>
      </c>
    </row>
    <row r="726" spans="1:11" ht="14.25" customHeight="1" x14ac:dyDescent="0.3">
      <c r="A726" s="9" t="s">
        <v>760</v>
      </c>
      <c r="B726" s="9" t="s">
        <v>34</v>
      </c>
      <c r="C726" s="2">
        <v>107</v>
      </c>
      <c r="D726" s="12" t="s">
        <v>19</v>
      </c>
      <c r="E726" s="3">
        <v>45179</v>
      </c>
      <c r="F726" s="15">
        <v>38</v>
      </c>
      <c r="G726" s="18">
        <v>4.7</v>
      </c>
      <c r="H726" s="9">
        <f>IF(MONTH(Data!$E726)&lt;=6, YEAR(Data!$E726), YEAR(Data!$E726)+1)</f>
        <v>2024</v>
      </c>
      <c r="I726" s="9" t="str">
        <f>TEXT(Data!$E726,"DDDD")</f>
        <v>Sunday</v>
      </c>
      <c r="J726" s="9" t="s">
        <v>14</v>
      </c>
      <c r="K726" s="23">
        <f>ROUND(Data!$G726,0)</f>
        <v>5</v>
      </c>
    </row>
    <row r="727" spans="1:11" ht="14.25" customHeight="1" x14ac:dyDescent="0.3">
      <c r="A727" s="9" t="s">
        <v>761</v>
      </c>
      <c r="B727" s="9" t="s">
        <v>12</v>
      </c>
      <c r="C727" s="2">
        <v>58</v>
      </c>
      <c r="D727" s="12" t="s">
        <v>19</v>
      </c>
      <c r="E727" s="3">
        <v>45181</v>
      </c>
      <c r="F727" s="15">
        <v>90</v>
      </c>
      <c r="G727" s="18">
        <v>4.3</v>
      </c>
      <c r="H727" s="9">
        <f>IF(MONTH(Data!$E727)&lt;=6, YEAR(Data!$E727), YEAR(Data!$E727)+1)</f>
        <v>2024</v>
      </c>
      <c r="I727" s="9" t="str">
        <f>TEXT(Data!$E727,"DDDD")</f>
        <v>Tuesday</v>
      </c>
      <c r="J727" s="9" t="s">
        <v>27</v>
      </c>
      <c r="K727" s="23">
        <f>ROUND(Data!$G727,0)</f>
        <v>4</v>
      </c>
    </row>
    <row r="728" spans="1:11" ht="14.25" customHeight="1" x14ac:dyDescent="0.3">
      <c r="A728" s="9" t="s">
        <v>762</v>
      </c>
      <c r="B728" s="9" t="s">
        <v>38</v>
      </c>
      <c r="C728" s="2">
        <v>66</v>
      </c>
      <c r="D728" s="12" t="s">
        <v>19</v>
      </c>
      <c r="E728" s="3">
        <v>45181</v>
      </c>
      <c r="F728" s="15">
        <v>32</v>
      </c>
      <c r="G728" s="18">
        <v>3.8</v>
      </c>
      <c r="H728" s="9">
        <f>IF(MONTH(Data!$E728)&lt;=6, YEAR(Data!$E728), YEAR(Data!$E728)+1)</f>
        <v>2024</v>
      </c>
      <c r="I728" s="9" t="str">
        <f>TEXT(Data!$E728,"DDDD")</f>
        <v>Tuesday</v>
      </c>
      <c r="J728" s="9" t="s">
        <v>14</v>
      </c>
      <c r="K728" s="23">
        <f>ROUND(Data!$G728,0)</f>
        <v>4</v>
      </c>
    </row>
    <row r="729" spans="1:11" ht="14.25" customHeight="1" x14ac:dyDescent="0.3">
      <c r="A729" s="9" t="s">
        <v>763</v>
      </c>
      <c r="B729" s="9" t="s">
        <v>40</v>
      </c>
      <c r="C729" s="2">
        <v>75</v>
      </c>
      <c r="D729" s="12" t="s">
        <v>35</v>
      </c>
      <c r="E729" s="3">
        <v>45181</v>
      </c>
      <c r="F729" s="15">
        <v>120</v>
      </c>
      <c r="G729" s="18">
        <v>4.4000000000000004</v>
      </c>
      <c r="H729" s="9">
        <f>IF(MONTH(Data!$E729)&lt;=6, YEAR(Data!$E729), YEAR(Data!$E729)+1)</f>
        <v>2024</v>
      </c>
      <c r="I729" s="9" t="str">
        <f>TEXT(Data!$E729,"DDDD")</f>
        <v>Tuesday</v>
      </c>
      <c r="J729" s="9" t="s">
        <v>14</v>
      </c>
      <c r="K729" s="23">
        <f>ROUND(Data!$G729,0)</f>
        <v>4</v>
      </c>
    </row>
    <row r="730" spans="1:11" ht="14.25" customHeight="1" x14ac:dyDescent="0.3">
      <c r="A730" s="9" t="s">
        <v>764</v>
      </c>
      <c r="B730" s="9" t="s">
        <v>34</v>
      </c>
      <c r="C730" s="2">
        <v>8</v>
      </c>
      <c r="D730" s="12" t="s">
        <v>19</v>
      </c>
      <c r="E730" s="3">
        <v>45181</v>
      </c>
      <c r="F730" s="15">
        <v>31</v>
      </c>
      <c r="G730" s="18">
        <v>3.9</v>
      </c>
      <c r="H730" s="9">
        <f>IF(MONTH(Data!$E730)&lt;=6, YEAR(Data!$E730), YEAR(Data!$E730)+1)</f>
        <v>2024</v>
      </c>
      <c r="I730" s="9" t="str">
        <f>TEXT(Data!$E730,"DDDD")</f>
        <v>Tuesday</v>
      </c>
      <c r="J730" s="9" t="s">
        <v>176</v>
      </c>
      <c r="K730" s="23">
        <f>ROUND(Data!$G730,0)</f>
        <v>4</v>
      </c>
    </row>
    <row r="731" spans="1:11" ht="14.25" customHeight="1" x14ac:dyDescent="0.3">
      <c r="A731" s="9" t="s">
        <v>765</v>
      </c>
      <c r="B731" s="9" t="s">
        <v>18</v>
      </c>
      <c r="C731" s="2">
        <v>76</v>
      </c>
      <c r="D731" s="12" t="s">
        <v>35</v>
      </c>
      <c r="E731" s="3">
        <v>45182</v>
      </c>
      <c r="F731" s="15">
        <v>108</v>
      </c>
      <c r="G731" s="18">
        <v>4.9000000000000004</v>
      </c>
      <c r="H731" s="9">
        <f>IF(MONTH(Data!$E731)&lt;=6, YEAR(Data!$E731), YEAR(Data!$E731)+1)</f>
        <v>2024</v>
      </c>
      <c r="I731" s="9" t="str">
        <f>TEXT(Data!$E731,"DDDD")</f>
        <v>Wednesday</v>
      </c>
      <c r="J731" s="9" t="s">
        <v>14</v>
      </c>
      <c r="K731" s="23">
        <f>ROUND(Data!$G731,0)</f>
        <v>5</v>
      </c>
    </row>
    <row r="732" spans="1:11" ht="14.25" customHeight="1" x14ac:dyDescent="0.3">
      <c r="A732" s="9" t="s">
        <v>766</v>
      </c>
      <c r="B732" s="9" t="s">
        <v>12</v>
      </c>
      <c r="C732" s="2">
        <v>110</v>
      </c>
      <c r="D732" s="12" t="s">
        <v>35</v>
      </c>
      <c r="E732" s="3">
        <v>45182</v>
      </c>
      <c r="F732" s="15">
        <v>180</v>
      </c>
      <c r="G732" s="18">
        <v>4.2</v>
      </c>
      <c r="H732" s="9">
        <f>IF(MONTH(Data!$E732)&lt;=6, YEAR(Data!$E732), YEAR(Data!$E732)+1)</f>
        <v>2024</v>
      </c>
      <c r="I732" s="9" t="str">
        <f>TEXT(Data!$E732,"DDDD")</f>
        <v>Wednesday</v>
      </c>
      <c r="J732" s="9" t="s">
        <v>14</v>
      </c>
      <c r="K732" s="23">
        <f>ROUND(Data!$G732,0)</f>
        <v>4</v>
      </c>
    </row>
    <row r="733" spans="1:11" ht="14.25" customHeight="1" x14ac:dyDescent="0.3">
      <c r="A733" s="9" t="s">
        <v>767</v>
      </c>
      <c r="B733" s="9" t="s">
        <v>38</v>
      </c>
      <c r="C733" s="2">
        <v>50</v>
      </c>
      <c r="D733" s="12" t="s">
        <v>24</v>
      </c>
      <c r="E733" s="3">
        <v>45183</v>
      </c>
      <c r="F733" s="15">
        <v>124</v>
      </c>
      <c r="G733" s="18">
        <v>4</v>
      </c>
      <c r="H733" s="9">
        <f>IF(MONTH(Data!$E733)&lt;=6, YEAR(Data!$E733), YEAR(Data!$E733)+1)</f>
        <v>2024</v>
      </c>
      <c r="I733" s="9" t="str">
        <f>TEXT(Data!$E733,"DDDD")</f>
        <v>Thursday</v>
      </c>
      <c r="J733" s="9" t="s">
        <v>27</v>
      </c>
      <c r="K733" s="23">
        <f>ROUND(Data!$G733,0)</f>
        <v>4</v>
      </c>
    </row>
    <row r="734" spans="1:11" ht="14.25" customHeight="1" x14ac:dyDescent="0.3">
      <c r="A734" s="9" t="s">
        <v>768</v>
      </c>
      <c r="B734" s="9" t="s">
        <v>29</v>
      </c>
      <c r="C734" s="2">
        <v>78</v>
      </c>
      <c r="D734" s="12" t="s">
        <v>24</v>
      </c>
      <c r="E734" s="3">
        <v>45183</v>
      </c>
      <c r="F734" s="15">
        <v>23</v>
      </c>
      <c r="G734" s="18">
        <v>4.2</v>
      </c>
      <c r="H734" s="9">
        <f>IF(MONTH(Data!$E734)&lt;=6, YEAR(Data!$E734), YEAR(Data!$E734)+1)</f>
        <v>2024</v>
      </c>
      <c r="I734" s="9" t="str">
        <f>TEXT(Data!$E734,"DDDD")</f>
        <v>Thursday</v>
      </c>
      <c r="J734" s="9" t="s">
        <v>14</v>
      </c>
      <c r="K734" s="23">
        <f>ROUND(Data!$G734,0)</f>
        <v>4</v>
      </c>
    </row>
    <row r="735" spans="1:11" ht="14.25" customHeight="1" x14ac:dyDescent="0.3">
      <c r="A735" s="9" t="s">
        <v>769</v>
      </c>
      <c r="B735" s="9" t="s">
        <v>58</v>
      </c>
      <c r="C735" s="2">
        <v>59</v>
      </c>
      <c r="D735" s="12" t="s">
        <v>13</v>
      </c>
      <c r="E735" s="3">
        <v>45184</v>
      </c>
      <c r="F735" s="15">
        <v>24</v>
      </c>
      <c r="G735" s="18">
        <v>4.8</v>
      </c>
      <c r="H735" s="9">
        <f>IF(MONTH(Data!$E735)&lt;=6, YEAR(Data!$E735), YEAR(Data!$E735)+1)</f>
        <v>2024</v>
      </c>
      <c r="I735" s="9" t="str">
        <f>TEXT(Data!$E735,"DDDD")</f>
        <v>Friday</v>
      </c>
      <c r="J735" s="9" t="s">
        <v>27</v>
      </c>
      <c r="K735" s="23">
        <f>ROUND(Data!$G735,0)</f>
        <v>5</v>
      </c>
    </row>
    <row r="736" spans="1:11" ht="14.25" customHeight="1" x14ac:dyDescent="0.3">
      <c r="A736" s="9" t="s">
        <v>770</v>
      </c>
      <c r="B736" s="9" t="s">
        <v>29</v>
      </c>
      <c r="C736" s="2">
        <v>126</v>
      </c>
      <c r="D736" s="12" t="s">
        <v>19</v>
      </c>
      <c r="E736" s="3">
        <v>45185</v>
      </c>
      <c r="F736" s="15">
        <v>52</v>
      </c>
      <c r="G736" s="18">
        <v>1.1000000000000001</v>
      </c>
      <c r="H736" s="9">
        <f>IF(MONTH(Data!$E736)&lt;=6, YEAR(Data!$E736), YEAR(Data!$E736)+1)</f>
        <v>2024</v>
      </c>
      <c r="I736" s="9" t="str">
        <f>TEXT(Data!$E736,"DDDD")</f>
        <v>Saturday</v>
      </c>
      <c r="J736" s="9" t="s">
        <v>25</v>
      </c>
      <c r="K736" s="23">
        <f>ROUND(Data!$G736,0)</f>
        <v>1</v>
      </c>
    </row>
    <row r="737" spans="1:11" ht="14.25" customHeight="1" x14ac:dyDescent="0.3">
      <c r="A737" s="9" t="s">
        <v>771</v>
      </c>
      <c r="B737" s="9" t="s">
        <v>18</v>
      </c>
      <c r="C737" s="2">
        <v>43</v>
      </c>
      <c r="D737" s="12" t="s">
        <v>13</v>
      </c>
      <c r="E737" s="3">
        <v>45186</v>
      </c>
      <c r="F737" s="15">
        <v>168</v>
      </c>
      <c r="G737" s="18">
        <v>4</v>
      </c>
      <c r="H737" s="9">
        <f>IF(MONTH(Data!$E737)&lt;=6, YEAR(Data!$E737), YEAR(Data!$E737)+1)</f>
        <v>2024</v>
      </c>
      <c r="I737" s="9" t="str">
        <f>TEXT(Data!$E737,"DDDD")</f>
        <v>Sunday</v>
      </c>
      <c r="J737" s="9" t="s">
        <v>27</v>
      </c>
      <c r="K737" s="23">
        <f>ROUND(Data!$G737,0)</f>
        <v>4</v>
      </c>
    </row>
    <row r="738" spans="1:11" ht="14.25" customHeight="1" x14ac:dyDescent="0.3">
      <c r="A738" s="9" t="s">
        <v>772</v>
      </c>
      <c r="B738" s="9" t="s">
        <v>68</v>
      </c>
      <c r="C738" s="2">
        <v>79</v>
      </c>
      <c r="D738" s="12" t="s">
        <v>35</v>
      </c>
      <c r="E738" s="3">
        <v>45188</v>
      </c>
      <c r="F738" s="15">
        <v>125</v>
      </c>
      <c r="G738" s="18">
        <v>4.8</v>
      </c>
      <c r="H738" s="9">
        <f>IF(MONTH(Data!$E738)&lt;=6, YEAR(Data!$E738), YEAR(Data!$E738)+1)</f>
        <v>2024</v>
      </c>
      <c r="I738" s="9" t="str">
        <f>TEXT(Data!$E738,"DDDD")</f>
        <v>Tuesday</v>
      </c>
      <c r="J738" s="9" t="s">
        <v>14</v>
      </c>
      <c r="K738" s="23">
        <f>ROUND(Data!$G738,0)</f>
        <v>5</v>
      </c>
    </row>
    <row r="739" spans="1:11" ht="14.25" customHeight="1" x14ac:dyDescent="0.3">
      <c r="A739" s="9" t="s">
        <v>773</v>
      </c>
      <c r="B739" s="9" t="s">
        <v>12</v>
      </c>
      <c r="C739" s="2">
        <v>71</v>
      </c>
      <c r="D739" s="12" t="s">
        <v>13</v>
      </c>
      <c r="E739" s="3">
        <v>45189</v>
      </c>
      <c r="F739" s="15">
        <v>50</v>
      </c>
      <c r="G739" s="18">
        <v>4.2</v>
      </c>
      <c r="H739" s="9">
        <f>IF(MONTH(Data!$E739)&lt;=6, YEAR(Data!$E739), YEAR(Data!$E739)+1)</f>
        <v>2024</v>
      </c>
      <c r="I739" s="9" t="str">
        <f>TEXT(Data!$E739,"DDDD")</f>
        <v>Wednesday</v>
      </c>
      <c r="J739" s="9" t="s">
        <v>14</v>
      </c>
      <c r="K739" s="23">
        <f>ROUND(Data!$G739,0)</f>
        <v>4</v>
      </c>
    </row>
    <row r="740" spans="1:11" ht="14.25" customHeight="1" x14ac:dyDescent="0.3">
      <c r="A740" s="9" t="s">
        <v>774</v>
      </c>
      <c r="B740" s="9" t="s">
        <v>46</v>
      </c>
      <c r="C740" s="2">
        <v>94</v>
      </c>
      <c r="D740" s="12" t="s">
        <v>19</v>
      </c>
      <c r="E740" s="3">
        <v>45190</v>
      </c>
      <c r="F740" s="15">
        <v>220</v>
      </c>
      <c r="G740" s="18">
        <v>4.5999999999999996</v>
      </c>
      <c r="H740" s="9">
        <f>IF(MONTH(Data!$E740)&lt;=6, YEAR(Data!$E740), YEAR(Data!$E740)+1)</f>
        <v>2024</v>
      </c>
      <c r="I740" s="9" t="str">
        <f>TEXT(Data!$E740,"DDDD")</f>
        <v>Thursday</v>
      </c>
      <c r="J740" s="9" t="s">
        <v>14</v>
      </c>
      <c r="K740" s="23">
        <f>ROUND(Data!$G740,0)</f>
        <v>5</v>
      </c>
    </row>
    <row r="741" spans="1:11" ht="14.25" customHeight="1" x14ac:dyDescent="0.3">
      <c r="A741" s="9" t="s">
        <v>775</v>
      </c>
      <c r="B741" s="9" t="s">
        <v>34</v>
      </c>
      <c r="C741" s="2">
        <v>108</v>
      </c>
      <c r="D741" s="12" t="s">
        <v>13</v>
      </c>
      <c r="E741" s="3">
        <v>45190</v>
      </c>
      <c r="F741" s="15">
        <v>180</v>
      </c>
      <c r="G741" s="18">
        <v>4</v>
      </c>
      <c r="H741" s="9">
        <f>IF(MONTH(Data!$E741)&lt;=6, YEAR(Data!$E741), YEAR(Data!$E741)+1)</f>
        <v>2024</v>
      </c>
      <c r="I741" s="9" t="str">
        <f>TEXT(Data!$E741,"DDDD")</f>
        <v>Thursday</v>
      </c>
      <c r="J741" s="9" t="s">
        <v>14</v>
      </c>
      <c r="K741" s="23">
        <f>ROUND(Data!$G741,0)</f>
        <v>4</v>
      </c>
    </row>
    <row r="742" spans="1:11" ht="14.25" customHeight="1" x14ac:dyDescent="0.3">
      <c r="A742" s="9" t="s">
        <v>776</v>
      </c>
      <c r="B742" s="9" t="s">
        <v>18</v>
      </c>
      <c r="C742" s="2">
        <v>76</v>
      </c>
      <c r="D742" s="12" t="s">
        <v>19</v>
      </c>
      <c r="E742" s="3">
        <v>45190</v>
      </c>
      <c r="F742" s="15">
        <v>110</v>
      </c>
      <c r="G742" s="18">
        <v>3.9</v>
      </c>
      <c r="H742" s="9">
        <f>IF(MONTH(Data!$E742)&lt;=6, YEAR(Data!$E742), YEAR(Data!$E742)+1)</f>
        <v>2024</v>
      </c>
      <c r="I742" s="9" t="str">
        <f>TEXT(Data!$E742,"DDDD")</f>
        <v>Thursday</v>
      </c>
      <c r="J742" s="9" t="s">
        <v>14</v>
      </c>
      <c r="K742" s="23">
        <f>ROUND(Data!$G742,0)</f>
        <v>4</v>
      </c>
    </row>
    <row r="743" spans="1:11" ht="14.25" customHeight="1" x14ac:dyDescent="0.3">
      <c r="A743" s="9" t="s">
        <v>777</v>
      </c>
      <c r="B743" s="9" t="s">
        <v>58</v>
      </c>
      <c r="C743" s="2">
        <v>136</v>
      </c>
      <c r="D743" s="12" t="s">
        <v>13</v>
      </c>
      <c r="E743" s="3">
        <v>45190</v>
      </c>
      <c r="F743" s="15">
        <v>36</v>
      </c>
      <c r="G743" s="18">
        <v>2.8</v>
      </c>
      <c r="H743" s="9">
        <f>IF(MONTH(Data!$E743)&lt;=6, YEAR(Data!$E743), YEAR(Data!$E743)+1)</f>
        <v>2024</v>
      </c>
      <c r="I743" s="9" t="str">
        <f>TEXT(Data!$E743,"DDDD")</f>
        <v>Thursday</v>
      </c>
      <c r="J743" s="9" t="s">
        <v>25</v>
      </c>
      <c r="K743" s="23">
        <f>ROUND(Data!$G743,0)</f>
        <v>3</v>
      </c>
    </row>
    <row r="744" spans="1:11" ht="14.25" customHeight="1" x14ac:dyDescent="0.3">
      <c r="A744" s="9" t="s">
        <v>778</v>
      </c>
      <c r="B744" s="9" t="s">
        <v>16</v>
      </c>
      <c r="C744" s="2">
        <v>129</v>
      </c>
      <c r="D744" s="12" t="s">
        <v>24</v>
      </c>
      <c r="E744" s="3">
        <v>45191</v>
      </c>
      <c r="F744" s="15">
        <v>93</v>
      </c>
      <c r="G744" s="18">
        <v>4.7</v>
      </c>
      <c r="H744" s="9">
        <f>IF(MONTH(Data!$E744)&lt;=6, YEAR(Data!$E744), YEAR(Data!$E744)+1)</f>
        <v>2024</v>
      </c>
      <c r="I744" s="9" t="str">
        <f>TEXT(Data!$E744,"DDDD")</f>
        <v>Friday</v>
      </c>
      <c r="J744" s="9" t="s">
        <v>25</v>
      </c>
      <c r="K744" s="23">
        <f>ROUND(Data!$G744,0)</f>
        <v>5</v>
      </c>
    </row>
    <row r="745" spans="1:11" ht="14.25" customHeight="1" x14ac:dyDescent="0.3">
      <c r="A745" s="9" t="s">
        <v>779</v>
      </c>
      <c r="B745" s="9" t="s">
        <v>34</v>
      </c>
      <c r="C745" s="2">
        <v>120</v>
      </c>
      <c r="D745" s="12" t="s">
        <v>13</v>
      </c>
      <c r="E745" s="3">
        <v>45191</v>
      </c>
      <c r="F745" s="15">
        <v>38</v>
      </c>
      <c r="G745" s="18">
        <v>4.2</v>
      </c>
      <c r="H745" s="9">
        <f>IF(MONTH(Data!$E745)&lt;=6, YEAR(Data!$E745), YEAR(Data!$E745)+1)</f>
        <v>2024</v>
      </c>
      <c r="I745" s="9" t="str">
        <f>TEXT(Data!$E745,"DDDD")</f>
        <v>Friday</v>
      </c>
      <c r="J745" s="9" t="s">
        <v>14</v>
      </c>
      <c r="K745" s="23">
        <f>ROUND(Data!$G745,0)</f>
        <v>4</v>
      </c>
    </row>
    <row r="746" spans="1:11" ht="14.25" customHeight="1" x14ac:dyDescent="0.3">
      <c r="A746" s="9" t="s">
        <v>780</v>
      </c>
      <c r="B746" s="9" t="s">
        <v>18</v>
      </c>
      <c r="C746" s="2">
        <v>108</v>
      </c>
      <c r="D746" s="12" t="s">
        <v>24</v>
      </c>
      <c r="E746" s="3">
        <v>45192</v>
      </c>
      <c r="F746" s="15">
        <v>66</v>
      </c>
      <c r="G746" s="18">
        <v>3.9</v>
      </c>
      <c r="H746" s="9">
        <f>IF(MONTH(Data!$E746)&lt;=6, YEAR(Data!$E746), YEAR(Data!$E746)+1)</f>
        <v>2024</v>
      </c>
      <c r="I746" s="9" t="str">
        <f>TEXT(Data!$E746,"DDDD")</f>
        <v>Saturday</v>
      </c>
      <c r="J746" s="9" t="s">
        <v>14</v>
      </c>
      <c r="K746" s="23">
        <f>ROUND(Data!$G746,0)</f>
        <v>4</v>
      </c>
    </row>
    <row r="747" spans="1:11" ht="14.25" customHeight="1" x14ac:dyDescent="0.3">
      <c r="A747" s="9" t="s">
        <v>781</v>
      </c>
      <c r="B747" s="9" t="s">
        <v>29</v>
      </c>
      <c r="C747" s="2">
        <v>79</v>
      </c>
      <c r="D747" s="12" t="s">
        <v>13</v>
      </c>
      <c r="E747" s="3">
        <v>45192</v>
      </c>
      <c r="F747" s="15">
        <v>215</v>
      </c>
      <c r="G747" s="18">
        <v>4.5999999999999996</v>
      </c>
      <c r="H747" s="9">
        <f>IF(MONTH(Data!$E747)&lt;=6, YEAR(Data!$E747), YEAR(Data!$E747)+1)</f>
        <v>2024</v>
      </c>
      <c r="I747" s="9" t="str">
        <f>TEXT(Data!$E747,"DDDD")</f>
        <v>Saturday</v>
      </c>
      <c r="J747" s="9" t="s">
        <v>14</v>
      </c>
      <c r="K747" s="23">
        <f>ROUND(Data!$G747,0)</f>
        <v>5</v>
      </c>
    </row>
    <row r="748" spans="1:11" ht="14.25" customHeight="1" x14ac:dyDescent="0.3">
      <c r="A748" s="9" t="s">
        <v>782</v>
      </c>
      <c r="B748" s="9" t="s">
        <v>29</v>
      </c>
      <c r="C748" s="2">
        <v>45</v>
      </c>
      <c r="D748" s="12" t="s">
        <v>24</v>
      </c>
      <c r="E748" s="3">
        <v>45192</v>
      </c>
      <c r="F748" s="15">
        <v>92</v>
      </c>
      <c r="G748" s="18">
        <v>4.3</v>
      </c>
      <c r="H748" s="9">
        <f>IF(MONTH(Data!$E748)&lt;=6, YEAR(Data!$E748), YEAR(Data!$E748)+1)</f>
        <v>2024</v>
      </c>
      <c r="I748" s="9" t="str">
        <f>TEXT(Data!$E748,"DDDD")</f>
        <v>Saturday</v>
      </c>
      <c r="J748" s="9" t="s">
        <v>27</v>
      </c>
      <c r="K748" s="23">
        <f>ROUND(Data!$G748,0)</f>
        <v>4</v>
      </c>
    </row>
    <row r="749" spans="1:11" ht="14.25" customHeight="1" x14ac:dyDescent="0.3">
      <c r="A749" s="9" t="s">
        <v>783</v>
      </c>
      <c r="B749" s="9" t="s">
        <v>23</v>
      </c>
      <c r="C749" s="2">
        <v>96</v>
      </c>
      <c r="D749" s="12" t="s">
        <v>13</v>
      </c>
      <c r="E749" s="3">
        <v>45192</v>
      </c>
      <c r="F749" s="15">
        <v>80</v>
      </c>
      <c r="G749" s="18">
        <v>3.6</v>
      </c>
      <c r="H749" s="9">
        <f>IF(MONTH(Data!$E749)&lt;=6, YEAR(Data!$E749), YEAR(Data!$E749)+1)</f>
        <v>2024</v>
      </c>
      <c r="I749" s="9" t="str">
        <f>TEXT(Data!$E749,"DDDD")</f>
        <v>Saturday</v>
      </c>
      <c r="J749" s="9" t="s">
        <v>14</v>
      </c>
      <c r="K749" s="23">
        <f>ROUND(Data!$G749,0)</f>
        <v>4</v>
      </c>
    </row>
    <row r="750" spans="1:11" ht="14.25" customHeight="1" x14ac:dyDescent="0.3">
      <c r="A750" s="9" t="s">
        <v>784</v>
      </c>
      <c r="B750" s="9" t="s">
        <v>23</v>
      </c>
      <c r="C750" s="2">
        <v>81</v>
      </c>
      <c r="D750" s="12" t="s">
        <v>13</v>
      </c>
      <c r="E750" s="3">
        <v>45193</v>
      </c>
      <c r="F750" s="15">
        <v>123</v>
      </c>
      <c r="G750" s="18">
        <v>4.9000000000000004</v>
      </c>
      <c r="H750" s="9">
        <f>IF(MONTH(Data!$E750)&lt;=6, YEAR(Data!$E750), YEAR(Data!$E750)+1)</f>
        <v>2024</v>
      </c>
      <c r="I750" s="9" t="str">
        <f>TEXT(Data!$E750,"DDDD")</f>
        <v>Sunday</v>
      </c>
      <c r="J750" s="9" t="s">
        <v>14</v>
      </c>
      <c r="K750" s="23">
        <f>ROUND(Data!$G750,0)</f>
        <v>5</v>
      </c>
    </row>
    <row r="751" spans="1:11" ht="14.25" customHeight="1" x14ac:dyDescent="0.3">
      <c r="A751" s="9" t="s">
        <v>785</v>
      </c>
      <c r="B751" s="9" t="s">
        <v>58</v>
      </c>
      <c r="C751" s="2">
        <v>95</v>
      </c>
      <c r="D751" s="12" t="s">
        <v>31</v>
      </c>
      <c r="E751" s="3">
        <v>45193</v>
      </c>
      <c r="F751" s="15">
        <v>23</v>
      </c>
      <c r="G751" s="18">
        <v>2.4</v>
      </c>
      <c r="H751" s="9">
        <f>IF(MONTH(Data!$E751)&lt;=6, YEAR(Data!$E751), YEAR(Data!$E751)+1)</f>
        <v>2024</v>
      </c>
      <c r="I751" s="9" t="str">
        <f>TEXT(Data!$E751,"DDDD")</f>
        <v>Sunday</v>
      </c>
      <c r="J751" s="9" t="s">
        <v>14</v>
      </c>
      <c r="K751" s="23">
        <f>ROUND(Data!$G751,0)</f>
        <v>2</v>
      </c>
    </row>
    <row r="752" spans="1:11" ht="14.25" customHeight="1" x14ac:dyDescent="0.3">
      <c r="A752" s="9" t="s">
        <v>786</v>
      </c>
      <c r="B752" s="9" t="s">
        <v>55</v>
      </c>
      <c r="C752" s="2">
        <v>159</v>
      </c>
      <c r="D752" s="12" t="s">
        <v>19</v>
      </c>
      <c r="E752" s="3">
        <v>45193</v>
      </c>
      <c r="F752" s="15">
        <v>63</v>
      </c>
      <c r="G752" s="18">
        <v>4.2</v>
      </c>
      <c r="H752" s="9">
        <f>IF(MONTH(Data!$E752)&lt;=6, YEAR(Data!$E752), YEAR(Data!$E752)+1)</f>
        <v>2024</v>
      </c>
      <c r="I752" s="9" t="str">
        <f>TEXT(Data!$E752,"DDDD")</f>
        <v>Sunday</v>
      </c>
      <c r="J752" s="9" t="s">
        <v>25</v>
      </c>
      <c r="K752" s="23">
        <f>ROUND(Data!$G752,0)</f>
        <v>4</v>
      </c>
    </row>
    <row r="753" spans="1:11" ht="14.25" customHeight="1" x14ac:dyDescent="0.3">
      <c r="A753" s="9" t="s">
        <v>787</v>
      </c>
      <c r="B753" s="9" t="s">
        <v>88</v>
      </c>
      <c r="C753" s="2">
        <v>109</v>
      </c>
      <c r="D753" s="12" t="s">
        <v>35</v>
      </c>
      <c r="E753" s="3">
        <v>45193</v>
      </c>
      <c r="F753" s="15">
        <v>52</v>
      </c>
      <c r="G753" s="18">
        <v>3.9</v>
      </c>
      <c r="H753" s="9">
        <f>IF(MONTH(Data!$E753)&lt;=6, YEAR(Data!$E753), YEAR(Data!$E753)+1)</f>
        <v>2024</v>
      </c>
      <c r="I753" s="9" t="str">
        <f>TEXT(Data!$E753,"DDDD")</f>
        <v>Sunday</v>
      </c>
      <c r="J753" s="9" t="s">
        <v>14</v>
      </c>
      <c r="K753" s="23">
        <f>ROUND(Data!$G753,0)</f>
        <v>4</v>
      </c>
    </row>
    <row r="754" spans="1:11" ht="14.25" customHeight="1" x14ac:dyDescent="0.3">
      <c r="A754" s="9" t="s">
        <v>788</v>
      </c>
      <c r="B754" s="9" t="s">
        <v>29</v>
      </c>
      <c r="C754" s="2">
        <v>107</v>
      </c>
      <c r="D754" s="12" t="s">
        <v>35</v>
      </c>
      <c r="E754" s="3">
        <v>45193</v>
      </c>
      <c r="F754" s="15">
        <v>60</v>
      </c>
      <c r="G754" s="18">
        <v>4.2</v>
      </c>
      <c r="H754" s="9">
        <f>IF(MONTH(Data!$E754)&lt;=6, YEAR(Data!$E754), YEAR(Data!$E754)+1)</f>
        <v>2024</v>
      </c>
      <c r="I754" s="9" t="str">
        <f>TEXT(Data!$E754,"DDDD")</f>
        <v>Sunday</v>
      </c>
      <c r="J754" s="9" t="s">
        <v>14</v>
      </c>
      <c r="K754" s="23">
        <f>ROUND(Data!$G754,0)</f>
        <v>4</v>
      </c>
    </row>
    <row r="755" spans="1:11" ht="14.25" customHeight="1" x14ac:dyDescent="0.3">
      <c r="A755" s="9" t="s">
        <v>789</v>
      </c>
      <c r="B755" s="9" t="s">
        <v>23</v>
      </c>
      <c r="C755" s="2">
        <v>67</v>
      </c>
      <c r="D755" s="12" t="s">
        <v>24</v>
      </c>
      <c r="E755" s="3">
        <v>45194</v>
      </c>
      <c r="F755" s="15">
        <v>87</v>
      </c>
      <c r="G755" s="18">
        <v>3.9</v>
      </c>
      <c r="H755" s="9">
        <f>IF(MONTH(Data!$E755)&lt;=6, YEAR(Data!$E755), YEAR(Data!$E755)+1)</f>
        <v>2024</v>
      </c>
      <c r="I755" s="9" t="str">
        <f>TEXT(Data!$E755,"DDDD")</f>
        <v>Monday</v>
      </c>
      <c r="J755" s="9" t="s">
        <v>14</v>
      </c>
      <c r="K755" s="23">
        <f>ROUND(Data!$G755,0)</f>
        <v>4</v>
      </c>
    </row>
    <row r="756" spans="1:11" ht="14.25" customHeight="1" x14ac:dyDescent="0.3">
      <c r="A756" s="9" t="s">
        <v>790</v>
      </c>
      <c r="B756" s="9" t="s">
        <v>40</v>
      </c>
      <c r="C756" s="2">
        <v>96</v>
      </c>
      <c r="D756" s="12" t="s">
        <v>13</v>
      </c>
      <c r="E756" s="3">
        <v>45195</v>
      </c>
      <c r="F756" s="15">
        <v>42</v>
      </c>
      <c r="G756" s="18">
        <v>4.5</v>
      </c>
      <c r="H756" s="9">
        <f>IF(MONTH(Data!$E756)&lt;=6, YEAR(Data!$E756), YEAR(Data!$E756)+1)</f>
        <v>2024</v>
      </c>
      <c r="I756" s="9" t="str">
        <f>TEXT(Data!$E756,"DDDD")</f>
        <v>Tuesday</v>
      </c>
      <c r="J756" s="9" t="s">
        <v>14</v>
      </c>
      <c r="K756" s="23">
        <f>ROUND(Data!$G756,0)</f>
        <v>5</v>
      </c>
    </row>
    <row r="757" spans="1:11" ht="14.25" customHeight="1" x14ac:dyDescent="0.3">
      <c r="A757" s="9" t="s">
        <v>791</v>
      </c>
      <c r="B757" s="9" t="s">
        <v>50</v>
      </c>
      <c r="C757" s="2">
        <v>142</v>
      </c>
      <c r="D757" s="12" t="s">
        <v>19</v>
      </c>
      <c r="E757" s="3">
        <v>45196</v>
      </c>
      <c r="F757" s="15">
        <v>37</v>
      </c>
      <c r="G757" s="18">
        <v>3.8</v>
      </c>
      <c r="H757" s="9">
        <f>IF(MONTH(Data!$E757)&lt;=6, YEAR(Data!$E757), YEAR(Data!$E757)+1)</f>
        <v>2024</v>
      </c>
      <c r="I757" s="9" t="str">
        <f>TEXT(Data!$E757,"DDDD")</f>
        <v>Wednesday</v>
      </c>
      <c r="J757" s="9" t="s">
        <v>25</v>
      </c>
      <c r="K757" s="23">
        <f>ROUND(Data!$G757,0)</f>
        <v>4</v>
      </c>
    </row>
    <row r="758" spans="1:11" ht="14.25" customHeight="1" x14ac:dyDescent="0.3">
      <c r="A758" s="9" t="s">
        <v>792</v>
      </c>
      <c r="B758" s="9" t="s">
        <v>50</v>
      </c>
      <c r="C758" s="2">
        <v>71</v>
      </c>
      <c r="D758" s="12" t="s">
        <v>31</v>
      </c>
      <c r="E758" s="3">
        <v>45196</v>
      </c>
      <c r="F758" s="15">
        <v>135</v>
      </c>
      <c r="G758" s="18">
        <v>3.9</v>
      </c>
      <c r="H758" s="9">
        <f>IF(MONTH(Data!$E758)&lt;=6, YEAR(Data!$E758), YEAR(Data!$E758)+1)</f>
        <v>2024</v>
      </c>
      <c r="I758" s="9" t="str">
        <f>TEXT(Data!$E758,"DDDD")</f>
        <v>Wednesday</v>
      </c>
      <c r="J758" s="9" t="s">
        <v>14</v>
      </c>
      <c r="K758" s="23">
        <f>ROUND(Data!$G758,0)</f>
        <v>4</v>
      </c>
    </row>
    <row r="759" spans="1:11" ht="14.25" customHeight="1" x14ac:dyDescent="0.3">
      <c r="A759" s="9" t="s">
        <v>793</v>
      </c>
      <c r="B759" s="9" t="s">
        <v>40</v>
      </c>
      <c r="C759" s="2">
        <v>152</v>
      </c>
      <c r="D759" s="12" t="s">
        <v>31</v>
      </c>
      <c r="E759" s="3">
        <v>45196</v>
      </c>
      <c r="F759" s="15">
        <v>88</v>
      </c>
      <c r="G759" s="18">
        <v>4.7</v>
      </c>
      <c r="H759" s="9">
        <f>IF(MONTH(Data!$E759)&lt;=6, YEAR(Data!$E759), YEAR(Data!$E759)+1)</f>
        <v>2024</v>
      </c>
      <c r="I759" s="9" t="str">
        <f>TEXT(Data!$E759,"DDDD")</f>
        <v>Wednesday</v>
      </c>
      <c r="J759" s="9" t="s">
        <v>25</v>
      </c>
      <c r="K759" s="23">
        <f>ROUND(Data!$G759,0)</f>
        <v>5</v>
      </c>
    </row>
    <row r="760" spans="1:11" ht="14.25" customHeight="1" x14ac:dyDescent="0.3">
      <c r="A760" s="9" t="s">
        <v>794</v>
      </c>
      <c r="B760" s="9" t="s">
        <v>68</v>
      </c>
      <c r="C760" s="2">
        <v>108</v>
      </c>
      <c r="D760" s="12" t="s">
        <v>19</v>
      </c>
      <c r="E760" s="3">
        <v>45196</v>
      </c>
      <c r="F760" s="15">
        <v>190</v>
      </c>
      <c r="G760" s="18">
        <v>3.2</v>
      </c>
      <c r="H760" s="9">
        <f>IF(MONTH(Data!$E760)&lt;=6, YEAR(Data!$E760), YEAR(Data!$E760)+1)</f>
        <v>2024</v>
      </c>
      <c r="I760" s="9" t="str">
        <f>TEXT(Data!$E760,"DDDD")</f>
        <v>Wednesday</v>
      </c>
      <c r="J760" s="9" t="s">
        <v>14</v>
      </c>
      <c r="K760" s="23">
        <f>ROUND(Data!$G760,0)</f>
        <v>3</v>
      </c>
    </row>
    <row r="761" spans="1:11" ht="14.25" customHeight="1" x14ac:dyDescent="0.3">
      <c r="A761" s="9" t="s">
        <v>795</v>
      </c>
      <c r="B761" s="9" t="s">
        <v>68</v>
      </c>
      <c r="C761" s="2">
        <v>156</v>
      </c>
      <c r="D761" s="12" t="s">
        <v>31</v>
      </c>
      <c r="E761" s="3">
        <v>45196</v>
      </c>
      <c r="F761" s="15">
        <v>81</v>
      </c>
      <c r="G761" s="18">
        <v>5</v>
      </c>
      <c r="H761" s="9">
        <f>IF(MONTH(Data!$E761)&lt;=6, YEAR(Data!$E761), YEAR(Data!$E761)+1)</f>
        <v>2024</v>
      </c>
      <c r="I761" s="9" t="str">
        <f>TEXT(Data!$E761,"DDDD")</f>
        <v>Wednesday</v>
      </c>
      <c r="J761" s="9" t="s">
        <v>25</v>
      </c>
      <c r="K761" s="23">
        <f>ROUND(Data!$G761,0)</f>
        <v>5</v>
      </c>
    </row>
    <row r="762" spans="1:11" ht="14.25" customHeight="1" x14ac:dyDescent="0.3">
      <c r="A762" s="9" t="s">
        <v>796</v>
      </c>
      <c r="B762" s="9" t="s">
        <v>50</v>
      </c>
      <c r="C762" s="2">
        <v>126</v>
      </c>
      <c r="D762" s="12" t="s">
        <v>19</v>
      </c>
      <c r="E762" s="3">
        <v>45196</v>
      </c>
      <c r="F762" s="15">
        <v>44</v>
      </c>
      <c r="G762" s="18">
        <v>3.7</v>
      </c>
      <c r="H762" s="9">
        <f>IF(MONTH(Data!$E762)&lt;=6, YEAR(Data!$E762), YEAR(Data!$E762)+1)</f>
        <v>2024</v>
      </c>
      <c r="I762" s="9" t="str">
        <f>TEXT(Data!$E762,"DDDD")</f>
        <v>Wednesday</v>
      </c>
      <c r="J762" s="9" t="s">
        <v>25</v>
      </c>
      <c r="K762" s="23">
        <f>ROUND(Data!$G762,0)</f>
        <v>4</v>
      </c>
    </row>
    <row r="763" spans="1:11" ht="14.25" customHeight="1" x14ac:dyDescent="0.3">
      <c r="A763" s="9" t="s">
        <v>797</v>
      </c>
      <c r="B763" s="9" t="s">
        <v>18</v>
      </c>
      <c r="C763" s="2">
        <v>135</v>
      </c>
      <c r="D763" s="12" t="s">
        <v>31</v>
      </c>
      <c r="E763" s="3">
        <v>45197</v>
      </c>
      <c r="F763" s="15">
        <v>92</v>
      </c>
      <c r="G763" s="18">
        <v>3.9</v>
      </c>
      <c r="H763" s="9">
        <f>IF(MONTH(Data!$E763)&lt;=6, YEAR(Data!$E763), YEAR(Data!$E763)+1)</f>
        <v>2024</v>
      </c>
      <c r="I763" s="9" t="str">
        <f>TEXT(Data!$E763,"DDDD")</f>
        <v>Thursday</v>
      </c>
      <c r="J763" s="9" t="s">
        <v>25</v>
      </c>
      <c r="K763" s="23">
        <f>ROUND(Data!$G763,0)</f>
        <v>4</v>
      </c>
    </row>
    <row r="764" spans="1:11" ht="14.25" customHeight="1" x14ac:dyDescent="0.3">
      <c r="A764" s="9" t="s">
        <v>798</v>
      </c>
      <c r="B764" s="9" t="s">
        <v>50</v>
      </c>
      <c r="C764" s="2">
        <v>110</v>
      </c>
      <c r="D764" s="12" t="s">
        <v>13</v>
      </c>
      <c r="E764" s="3">
        <v>45198</v>
      </c>
      <c r="F764" s="15">
        <v>90</v>
      </c>
      <c r="G764" s="18">
        <v>3.1</v>
      </c>
      <c r="H764" s="9">
        <f>IF(MONTH(Data!$E764)&lt;=6, YEAR(Data!$E764), YEAR(Data!$E764)+1)</f>
        <v>2024</v>
      </c>
      <c r="I764" s="9" t="str">
        <f>TEXT(Data!$E764,"DDDD")</f>
        <v>Friday</v>
      </c>
      <c r="J764" s="9" t="s">
        <v>14</v>
      </c>
      <c r="K764" s="23">
        <f>ROUND(Data!$G764,0)</f>
        <v>3</v>
      </c>
    </row>
    <row r="765" spans="1:11" ht="14.25" customHeight="1" x14ac:dyDescent="0.3">
      <c r="A765" s="9" t="s">
        <v>799</v>
      </c>
      <c r="B765" s="9" t="s">
        <v>55</v>
      </c>
      <c r="C765" s="2">
        <v>64</v>
      </c>
      <c r="D765" s="12" t="s">
        <v>31</v>
      </c>
      <c r="E765" s="3">
        <v>45198</v>
      </c>
      <c r="F765" s="15">
        <v>112</v>
      </c>
      <c r="G765" s="18">
        <v>2</v>
      </c>
      <c r="H765" s="9">
        <f>IF(MONTH(Data!$E765)&lt;=6, YEAR(Data!$E765), YEAR(Data!$E765)+1)</f>
        <v>2024</v>
      </c>
      <c r="I765" s="9" t="str">
        <f>TEXT(Data!$E765,"DDDD")</f>
        <v>Friday</v>
      </c>
      <c r="J765" s="9" t="s">
        <v>14</v>
      </c>
      <c r="K765" s="23">
        <f>ROUND(Data!$G765,0)</f>
        <v>2</v>
      </c>
    </row>
    <row r="766" spans="1:11" ht="14.25" customHeight="1" x14ac:dyDescent="0.3">
      <c r="A766" s="9" t="s">
        <v>800</v>
      </c>
      <c r="B766" s="9" t="s">
        <v>46</v>
      </c>
      <c r="C766" s="2">
        <v>127</v>
      </c>
      <c r="D766" s="12" t="s">
        <v>19</v>
      </c>
      <c r="E766" s="3">
        <v>45198</v>
      </c>
      <c r="F766" s="15">
        <v>112</v>
      </c>
      <c r="G766" s="18">
        <v>4.5999999999999996</v>
      </c>
      <c r="H766" s="9">
        <f>IF(MONTH(Data!$E766)&lt;=6, YEAR(Data!$E766), YEAR(Data!$E766)+1)</f>
        <v>2024</v>
      </c>
      <c r="I766" s="9" t="str">
        <f>TEXT(Data!$E766,"DDDD")</f>
        <v>Friday</v>
      </c>
      <c r="J766" s="9" t="s">
        <v>25</v>
      </c>
      <c r="K766" s="23">
        <f>ROUND(Data!$G766,0)</f>
        <v>5</v>
      </c>
    </row>
    <row r="767" spans="1:11" ht="14.25" customHeight="1" x14ac:dyDescent="0.3">
      <c r="A767" s="9" t="s">
        <v>801</v>
      </c>
      <c r="B767" s="9" t="s">
        <v>88</v>
      </c>
      <c r="C767" s="2">
        <v>124</v>
      </c>
      <c r="D767" s="12" t="s">
        <v>24</v>
      </c>
      <c r="E767" s="3">
        <v>45198</v>
      </c>
      <c r="F767" s="15">
        <v>48</v>
      </c>
      <c r="G767" s="18">
        <v>3.7</v>
      </c>
      <c r="H767" s="9">
        <f>IF(MONTH(Data!$E767)&lt;=6, YEAR(Data!$E767), YEAR(Data!$E767)+1)</f>
        <v>2024</v>
      </c>
      <c r="I767" s="9" t="str">
        <f>TEXT(Data!$E767,"DDDD")</f>
        <v>Friday</v>
      </c>
      <c r="J767" s="9" t="s">
        <v>25</v>
      </c>
      <c r="K767" s="23">
        <f>ROUND(Data!$G767,0)</f>
        <v>4</v>
      </c>
    </row>
    <row r="768" spans="1:11" ht="14.25" customHeight="1" x14ac:dyDescent="0.3">
      <c r="A768" s="9" t="s">
        <v>802</v>
      </c>
      <c r="B768" s="9" t="s">
        <v>55</v>
      </c>
      <c r="C768" s="2">
        <v>125</v>
      </c>
      <c r="D768" s="12" t="s">
        <v>19</v>
      </c>
      <c r="E768" s="3">
        <v>45198</v>
      </c>
      <c r="F768" s="15">
        <v>116</v>
      </c>
      <c r="G768" s="18">
        <v>4.4000000000000004</v>
      </c>
      <c r="H768" s="9">
        <f>IF(MONTH(Data!$E768)&lt;=6, YEAR(Data!$E768), YEAR(Data!$E768)+1)</f>
        <v>2024</v>
      </c>
      <c r="I768" s="9" t="str">
        <f>TEXT(Data!$E768,"DDDD")</f>
        <v>Friday</v>
      </c>
      <c r="J768" s="9" t="s">
        <v>25</v>
      </c>
      <c r="K768" s="23">
        <f>ROUND(Data!$G768,0)</f>
        <v>4</v>
      </c>
    </row>
    <row r="769" spans="1:11" ht="14.25" customHeight="1" x14ac:dyDescent="0.3">
      <c r="A769" s="9" t="s">
        <v>803</v>
      </c>
      <c r="B769" s="9" t="s">
        <v>16</v>
      </c>
      <c r="C769" s="2">
        <v>70</v>
      </c>
      <c r="D769" s="12" t="s">
        <v>19</v>
      </c>
      <c r="E769" s="3">
        <v>45198</v>
      </c>
      <c r="F769" s="15">
        <v>29</v>
      </c>
      <c r="G769" s="18">
        <v>2.1</v>
      </c>
      <c r="H769" s="9">
        <f>IF(MONTH(Data!$E769)&lt;=6, YEAR(Data!$E769), YEAR(Data!$E769)+1)</f>
        <v>2024</v>
      </c>
      <c r="I769" s="9" t="str">
        <f>TEXT(Data!$E769,"DDDD")</f>
        <v>Friday</v>
      </c>
      <c r="J769" s="9" t="s">
        <v>14</v>
      </c>
      <c r="K769" s="23">
        <f>ROUND(Data!$G769,0)</f>
        <v>2</v>
      </c>
    </row>
    <row r="770" spans="1:11" ht="14.25" customHeight="1" x14ac:dyDescent="0.3">
      <c r="A770" s="9" t="s">
        <v>804</v>
      </c>
      <c r="B770" s="9" t="s">
        <v>46</v>
      </c>
      <c r="C770" s="2">
        <v>93</v>
      </c>
      <c r="D770" s="12" t="s">
        <v>31</v>
      </c>
      <c r="E770" s="3">
        <v>45199</v>
      </c>
      <c r="F770" s="15">
        <v>170</v>
      </c>
      <c r="G770" s="18">
        <v>2.2000000000000002</v>
      </c>
      <c r="H770" s="9">
        <f>IF(MONTH(Data!$E770)&lt;=6, YEAR(Data!$E770), YEAR(Data!$E770)+1)</f>
        <v>2024</v>
      </c>
      <c r="I770" s="9" t="str">
        <f>TEXT(Data!$E770,"DDDD")</f>
        <v>Saturday</v>
      </c>
      <c r="J770" s="9" t="s">
        <v>14</v>
      </c>
      <c r="K770" s="23">
        <f>ROUND(Data!$G770,0)</f>
        <v>2</v>
      </c>
    </row>
    <row r="771" spans="1:11" ht="14.25" customHeight="1" x14ac:dyDescent="0.3">
      <c r="A771" s="9" t="s">
        <v>805</v>
      </c>
      <c r="B771" s="9" t="s">
        <v>16</v>
      </c>
      <c r="C771" s="2">
        <v>120</v>
      </c>
      <c r="D771" s="12" t="s">
        <v>35</v>
      </c>
      <c r="E771" s="3">
        <v>45199</v>
      </c>
      <c r="F771" s="15">
        <v>68</v>
      </c>
      <c r="G771" s="18">
        <v>3.4</v>
      </c>
      <c r="H771" s="9">
        <f>IF(MONTH(Data!$E771)&lt;=6, YEAR(Data!$E771), YEAR(Data!$E771)+1)</f>
        <v>2024</v>
      </c>
      <c r="I771" s="9" t="str">
        <f>TEXT(Data!$E771,"DDDD")</f>
        <v>Saturday</v>
      </c>
      <c r="J771" s="9" t="s">
        <v>14</v>
      </c>
      <c r="K771" s="23">
        <f>ROUND(Data!$G771,0)</f>
        <v>3</v>
      </c>
    </row>
    <row r="772" spans="1:11" ht="14.25" customHeight="1" x14ac:dyDescent="0.3">
      <c r="A772" s="9" t="s">
        <v>806</v>
      </c>
      <c r="B772" s="9" t="s">
        <v>23</v>
      </c>
      <c r="C772" s="2">
        <v>96</v>
      </c>
      <c r="D772" s="12" t="s">
        <v>13</v>
      </c>
      <c r="E772" s="3">
        <v>45199</v>
      </c>
      <c r="F772" s="15">
        <v>195</v>
      </c>
      <c r="G772" s="18">
        <v>2.7</v>
      </c>
      <c r="H772" s="9">
        <f>IF(MONTH(Data!$E772)&lt;=6, YEAR(Data!$E772), YEAR(Data!$E772)+1)</f>
        <v>2024</v>
      </c>
      <c r="I772" s="9" t="str">
        <f>TEXT(Data!$E772,"DDDD")</f>
        <v>Saturday</v>
      </c>
      <c r="J772" s="9" t="s">
        <v>14</v>
      </c>
      <c r="K772" s="23">
        <f>ROUND(Data!$G772,0)</f>
        <v>3</v>
      </c>
    </row>
    <row r="773" spans="1:11" ht="14.25" customHeight="1" x14ac:dyDescent="0.3">
      <c r="A773" s="9" t="s">
        <v>807</v>
      </c>
      <c r="B773" s="9" t="s">
        <v>21</v>
      </c>
      <c r="C773" s="2">
        <v>67</v>
      </c>
      <c r="D773" s="12" t="s">
        <v>13</v>
      </c>
      <c r="E773" s="3">
        <v>45199</v>
      </c>
      <c r="F773" s="15">
        <v>96</v>
      </c>
      <c r="G773" s="18">
        <v>3.7</v>
      </c>
      <c r="H773" s="9">
        <f>IF(MONTH(Data!$E773)&lt;=6, YEAR(Data!$E773), YEAR(Data!$E773)+1)</f>
        <v>2024</v>
      </c>
      <c r="I773" s="9" t="str">
        <f>TEXT(Data!$E773,"DDDD")</f>
        <v>Saturday</v>
      </c>
      <c r="J773" s="9" t="s">
        <v>14</v>
      </c>
      <c r="K773" s="23">
        <f>ROUND(Data!$G773,0)</f>
        <v>4</v>
      </c>
    </row>
    <row r="774" spans="1:11" ht="14.25" customHeight="1" x14ac:dyDescent="0.3">
      <c r="A774" s="9" t="s">
        <v>808</v>
      </c>
      <c r="B774" s="9" t="s">
        <v>55</v>
      </c>
      <c r="C774" s="2">
        <v>119</v>
      </c>
      <c r="D774" s="12" t="s">
        <v>13</v>
      </c>
      <c r="E774" s="3">
        <v>45199</v>
      </c>
      <c r="F774" s="15">
        <v>96</v>
      </c>
      <c r="G774" s="18">
        <v>3.1</v>
      </c>
      <c r="H774" s="9">
        <f>IF(MONTH(Data!$E774)&lt;=6, YEAR(Data!$E774), YEAR(Data!$E774)+1)</f>
        <v>2024</v>
      </c>
      <c r="I774" s="9" t="str">
        <f>TEXT(Data!$E774,"DDDD")</f>
        <v>Saturday</v>
      </c>
      <c r="J774" s="9" t="s">
        <v>14</v>
      </c>
      <c r="K774" s="23">
        <f>ROUND(Data!$G774,0)</f>
        <v>3</v>
      </c>
    </row>
    <row r="775" spans="1:11" ht="14.25" customHeight="1" x14ac:dyDescent="0.3">
      <c r="A775" s="9" t="s">
        <v>809</v>
      </c>
      <c r="B775" s="9" t="s">
        <v>88</v>
      </c>
      <c r="C775" s="2">
        <v>61</v>
      </c>
      <c r="D775" s="12" t="s">
        <v>24</v>
      </c>
      <c r="E775" s="3">
        <v>45199</v>
      </c>
      <c r="F775" s="15">
        <v>117</v>
      </c>
      <c r="G775" s="18">
        <v>4.0999999999999996</v>
      </c>
      <c r="H775" s="9">
        <f>IF(MONTH(Data!$E775)&lt;=6, YEAR(Data!$E775), YEAR(Data!$E775)+1)</f>
        <v>2024</v>
      </c>
      <c r="I775" s="9" t="str">
        <f>TEXT(Data!$E775,"DDDD")</f>
        <v>Saturday</v>
      </c>
      <c r="J775" s="9" t="s">
        <v>14</v>
      </c>
      <c r="K775" s="23">
        <f>ROUND(Data!$G775,0)</f>
        <v>4</v>
      </c>
    </row>
    <row r="776" spans="1:11" ht="14.25" customHeight="1" x14ac:dyDescent="0.3">
      <c r="A776" s="9" t="s">
        <v>810</v>
      </c>
      <c r="B776" s="9" t="s">
        <v>23</v>
      </c>
      <c r="C776" s="2">
        <v>29</v>
      </c>
      <c r="D776" s="12" t="s">
        <v>31</v>
      </c>
      <c r="E776" s="3">
        <v>45199</v>
      </c>
      <c r="F776" s="15">
        <v>80</v>
      </c>
      <c r="G776" s="18">
        <v>4.8</v>
      </c>
      <c r="H776" s="9">
        <f>IF(MONTH(Data!$E776)&lt;=6, YEAR(Data!$E776), YEAR(Data!$E776)+1)</f>
        <v>2024</v>
      </c>
      <c r="I776" s="9" t="str">
        <f>TEXT(Data!$E776,"DDDD")</f>
        <v>Saturday</v>
      </c>
      <c r="J776" s="9" t="s">
        <v>47</v>
      </c>
      <c r="K776" s="23">
        <f>ROUND(Data!$G776,0)</f>
        <v>5</v>
      </c>
    </row>
    <row r="777" spans="1:11" ht="14.25" customHeight="1" x14ac:dyDescent="0.3">
      <c r="A777" s="9" t="s">
        <v>811</v>
      </c>
      <c r="B777" s="9" t="s">
        <v>40</v>
      </c>
      <c r="C777" s="2">
        <v>134</v>
      </c>
      <c r="D777" s="12" t="s">
        <v>35</v>
      </c>
      <c r="E777" s="3">
        <v>45199</v>
      </c>
      <c r="F777" s="15">
        <v>117</v>
      </c>
      <c r="G777" s="18">
        <v>4</v>
      </c>
      <c r="H777" s="9">
        <f>IF(MONTH(Data!$E777)&lt;=6, YEAR(Data!$E777), YEAR(Data!$E777)+1)</f>
        <v>2024</v>
      </c>
      <c r="I777" s="9" t="str">
        <f>TEXT(Data!$E777,"DDDD")</f>
        <v>Saturday</v>
      </c>
      <c r="J777" s="9" t="s">
        <v>25</v>
      </c>
      <c r="K777" s="23">
        <f>ROUND(Data!$G777,0)</f>
        <v>4</v>
      </c>
    </row>
    <row r="778" spans="1:11" ht="14.25" customHeight="1" x14ac:dyDescent="0.3">
      <c r="A778" s="9" t="s">
        <v>812</v>
      </c>
      <c r="B778" s="9" t="s">
        <v>50</v>
      </c>
      <c r="C778" s="2">
        <v>113</v>
      </c>
      <c r="D778" s="12" t="s">
        <v>13</v>
      </c>
      <c r="E778" s="3">
        <v>45200</v>
      </c>
      <c r="F778" s="15">
        <v>40</v>
      </c>
      <c r="G778" s="18">
        <v>3</v>
      </c>
      <c r="H778" s="9">
        <f>IF(MONTH(Data!$E778)&lt;=6, YEAR(Data!$E778), YEAR(Data!$E778)+1)</f>
        <v>2024</v>
      </c>
      <c r="I778" s="9" t="str">
        <f>TEXT(Data!$E778,"DDDD")</f>
        <v>Sunday</v>
      </c>
      <c r="J778" s="9" t="s">
        <v>14</v>
      </c>
      <c r="K778" s="23">
        <f>ROUND(Data!$G778,0)</f>
        <v>3</v>
      </c>
    </row>
    <row r="779" spans="1:11" ht="14.25" customHeight="1" x14ac:dyDescent="0.3">
      <c r="A779" s="9" t="s">
        <v>813</v>
      </c>
      <c r="B779" s="9" t="s">
        <v>68</v>
      </c>
      <c r="C779" s="2">
        <v>12</v>
      </c>
      <c r="D779" s="12" t="s">
        <v>35</v>
      </c>
      <c r="E779" s="3">
        <v>45200</v>
      </c>
      <c r="F779" s="15">
        <v>117</v>
      </c>
      <c r="G779" s="18">
        <v>4.8</v>
      </c>
      <c r="H779" s="9">
        <f>IF(MONTH(Data!$E779)&lt;=6, YEAR(Data!$E779), YEAR(Data!$E779)+1)</f>
        <v>2024</v>
      </c>
      <c r="I779" s="9" t="str">
        <f>TEXT(Data!$E779,"DDDD")</f>
        <v>Sunday</v>
      </c>
      <c r="J779" s="9" t="s">
        <v>47</v>
      </c>
      <c r="K779" s="23">
        <f>ROUND(Data!$G779,0)</f>
        <v>5</v>
      </c>
    </row>
    <row r="780" spans="1:11" ht="14.25" customHeight="1" x14ac:dyDescent="0.3">
      <c r="A780" s="9" t="s">
        <v>814</v>
      </c>
      <c r="B780" s="9" t="s">
        <v>38</v>
      </c>
      <c r="C780" s="2">
        <v>78</v>
      </c>
      <c r="D780" s="12" t="s">
        <v>31</v>
      </c>
      <c r="E780" s="3">
        <v>45200</v>
      </c>
      <c r="F780" s="15">
        <v>135</v>
      </c>
      <c r="G780" s="18">
        <v>4.0999999999999996</v>
      </c>
      <c r="H780" s="9">
        <f>IF(MONTH(Data!$E780)&lt;=6, YEAR(Data!$E780), YEAR(Data!$E780)+1)</f>
        <v>2024</v>
      </c>
      <c r="I780" s="9" t="str">
        <f>TEXT(Data!$E780,"DDDD")</f>
        <v>Sunday</v>
      </c>
      <c r="J780" s="9" t="s">
        <v>14</v>
      </c>
      <c r="K780" s="23">
        <f>ROUND(Data!$G780,0)</f>
        <v>4</v>
      </c>
    </row>
    <row r="781" spans="1:11" ht="14.25" customHeight="1" x14ac:dyDescent="0.3">
      <c r="A781" s="9" t="s">
        <v>815</v>
      </c>
      <c r="B781" s="9" t="s">
        <v>55</v>
      </c>
      <c r="C781" s="2">
        <v>82</v>
      </c>
      <c r="D781" s="12" t="s">
        <v>19</v>
      </c>
      <c r="E781" s="3">
        <v>45200</v>
      </c>
      <c r="F781" s="15">
        <v>99</v>
      </c>
      <c r="G781" s="18">
        <v>4.2</v>
      </c>
      <c r="H781" s="9">
        <f>IF(MONTH(Data!$E781)&lt;=6, YEAR(Data!$E781), YEAR(Data!$E781)+1)</f>
        <v>2024</v>
      </c>
      <c r="I781" s="9" t="str">
        <f>TEXT(Data!$E781,"DDDD")</f>
        <v>Sunday</v>
      </c>
      <c r="J781" s="9" t="s">
        <v>14</v>
      </c>
      <c r="K781" s="23">
        <f>ROUND(Data!$G781,0)</f>
        <v>4</v>
      </c>
    </row>
    <row r="782" spans="1:11" ht="14.25" customHeight="1" x14ac:dyDescent="0.3">
      <c r="A782" s="9" t="s">
        <v>816</v>
      </c>
      <c r="B782" s="9" t="s">
        <v>34</v>
      </c>
      <c r="C782" s="2">
        <v>149</v>
      </c>
      <c r="D782" s="12" t="s">
        <v>24</v>
      </c>
      <c r="E782" s="3">
        <v>45200</v>
      </c>
      <c r="F782" s="15">
        <v>130</v>
      </c>
      <c r="G782" s="18">
        <v>3.3</v>
      </c>
      <c r="H782" s="9">
        <f>IF(MONTH(Data!$E782)&lt;=6, YEAR(Data!$E782), YEAR(Data!$E782)+1)</f>
        <v>2024</v>
      </c>
      <c r="I782" s="9" t="str">
        <f>TEXT(Data!$E782,"DDDD")</f>
        <v>Sunday</v>
      </c>
      <c r="J782" s="9" t="s">
        <v>25</v>
      </c>
      <c r="K782" s="23">
        <f>ROUND(Data!$G782,0)</f>
        <v>3</v>
      </c>
    </row>
    <row r="783" spans="1:11" ht="14.25" customHeight="1" x14ac:dyDescent="0.3">
      <c r="A783" s="9" t="s">
        <v>817</v>
      </c>
      <c r="B783" s="9" t="s">
        <v>29</v>
      </c>
      <c r="C783" s="2">
        <v>56</v>
      </c>
      <c r="D783" s="12" t="s">
        <v>35</v>
      </c>
      <c r="E783" s="3">
        <v>45200</v>
      </c>
      <c r="F783" s="15">
        <v>96</v>
      </c>
      <c r="G783" s="18">
        <v>4.7</v>
      </c>
      <c r="H783" s="9">
        <f>IF(MONTH(Data!$E783)&lt;=6, YEAR(Data!$E783), YEAR(Data!$E783)+1)</f>
        <v>2024</v>
      </c>
      <c r="I783" s="9" t="str">
        <f>TEXT(Data!$E783,"DDDD")</f>
        <v>Sunday</v>
      </c>
      <c r="J783" s="9" t="s">
        <v>27</v>
      </c>
      <c r="K783" s="23">
        <f>ROUND(Data!$G783,0)</f>
        <v>5</v>
      </c>
    </row>
    <row r="784" spans="1:11" ht="14.25" customHeight="1" x14ac:dyDescent="0.3">
      <c r="A784" s="9" t="s">
        <v>818</v>
      </c>
      <c r="B784" s="9" t="s">
        <v>23</v>
      </c>
      <c r="C784" s="2">
        <v>80</v>
      </c>
      <c r="D784" s="12" t="s">
        <v>24</v>
      </c>
      <c r="E784" s="3">
        <v>45200</v>
      </c>
      <c r="F784" s="15">
        <v>128</v>
      </c>
      <c r="G784" s="18">
        <v>3.7</v>
      </c>
      <c r="H784" s="9">
        <f>IF(MONTH(Data!$E784)&lt;=6, YEAR(Data!$E784), YEAR(Data!$E784)+1)</f>
        <v>2024</v>
      </c>
      <c r="I784" s="9" t="str">
        <f>TEXT(Data!$E784,"DDDD")</f>
        <v>Sunday</v>
      </c>
      <c r="J784" s="9" t="s">
        <v>14</v>
      </c>
      <c r="K784" s="23">
        <f>ROUND(Data!$G784,0)</f>
        <v>4</v>
      </c>
    </row>
    <row r="785" spans="1:11" ht="14.25" customHeight="1" x14ac:dyDescent="0.3">
      <c r="A785" s="9" t="s">
        <v>819</v>
      </c>
      <c r="B785" s="9" t="s">
        <v>88</v>
      </c>
      <c r="C785" s="2">
        <v>131</v>
      </c>
      <c r="D785" s="12" t="s">
        <v>13</v>
      </c>
      <c r="E785" s="3">
        <v>45200</v>
      </c>
      <c r="F785" s="15">
        <v>69</v>
      </c>
      <c r="G785" s="18">
        <v>4.7</v>
      </c>
      <c r="H785" s="9">
        <f>IF(MONTH(Data!$E785)&lt;=6, YEAR(Data!$E785), YEAR(Data!$E785)+1)</f>
        <v>2024</v>
      </c>
      <c r="I785" s="9" t="str">
        <f>TEXT(Data!$E785,"DDDD")</f>
        <v>Sunday</v>
      </c>
      <c r="J785" s="9" t="s">
        <v>25</v>
      </c>
      <c r="K785" s="23">
        <f>ROUND(Data!$G785,0)</f>
        <v>5</v>
      </c>
    </row>
    <row r="786" spans="1:11" ht="14.25" customHeight="1" x14ac:dyDescent="0.3">
      <c r="A786" s="9" t="s">
        <v>820</v>
      </c>
      <c r="B786" s="9" t="s">
        <v>88</v>
      </c>
      <c r="C786" s="2">
        <v>109</v>
      </c>
      <c r="D786" s="12" t="s">
        <v>13</v>
      </c>
      <c r="E786" s="3">
        <v>45200</v>
      </c>
      <c r="F786" s="15">
        <v>44</v>
      </c>
      <c r="G786" s="18">
        <v>4.5999999999999996</v>
      </c>
      <c r="H786" s="9">
        <f>IF(MONTH(Data!$E786)&lt;=6, YEAR(Data!$E786), YEAR(Data!$E786)+1)</f>
        <v>2024</v>
      </c>
      <c r="I786" s="9" t="str">
        <f>TEXT(Data!$E786,"DDDD")</f>
        <v>Sunday</v>
      </c>
      <c r="J786" s="9" t="s">
        <v>14</v>
      </c>
      <c r="K786" s="23">
        <f>ROUND(Data!$G786,0)</f>
        <v>5</v>
      </c>
    </row>
    <row r="787" spans="1:11" ht="14.25" customHeight="1" x14ac:dyDescent="0.3">
      <c r="A787" s="9" t="s">
        <v>821</v>
      </c>
      <c r="B787" s="9" t="s">
        <v>29</v>
      </c>
      <c r="C787" s="2">
        <v>142</v>
      </c>
      <c r="D787" s="12" t="s">
        <v>13</v>
      </c>
      <c r="E787" s="3">
        <v>45200</v>
      </c>
      <c r="F787" s="15">
        <v>44</v>
      </c>
      <c r="G787" s="18">
        <v>4.8</v>
      </c>
      <c r="H787" s="9">
        <f>IF(MONTH(Data!$E787)&lt;=6, YEAR(Data!$E787), YEAR(Data!$E787)+1)</f>
        <v>2024</v>
      </c>
      <c r="I787" s="9" t="str">
        <f>TEXT(Data!$E787,"DDDD")</f>
        <v>Sunday</v>
      </c>
      <c r="J787" s="9" t="s">
        <v>25</v>
      </c>
      <c r="K787" s="23">
        <f>ROUND(Data!$G787,0)</f>
        <v>5</v>
      </c>
    </row>
    <row r="788" spans="1:11" ht="14.25" customHeight="1" x14ac:dyDescent="0.3">
      <c r="A788" s="9" t="s">
        <v>822</v>
      </c>
      <c r="B788" s="9" t="s">
        <v>46</v>
      </c>
      <c r="C788" s="2">
        <v>114</v>
      </c>
      <c r="D788" s="12" t="s">
        <v>35</v>
      </c>
      <c r="E788" s="3">
        <v>45201</v>
      </c>
      <c r="F788" s="15">
        <v>135</v>
      </c>
      <c r="G788" s="18">
        <v>2</v>
      </c>
      <c r="H788" s="9">
        <f>IF(MONTH(Data!$E788)&lt;=6, YEAR(Data!$E788), YEAR(Data!$E788)+1)</f>
        <v>2024</v>
      </c>
      <c r="I788" s="9" t="str">
        <f>TEXT(Data!$E788,"DDDD")</f>
        <v>Monday</v>
      </c>
      <c r="J788" s="9" t="s">
        <v>14</v>
      </c>
      <c r="K788" s="23">
        <f>ROUND(Data!$G788,0)</f>
        <v>2</v>
      </c>
    </row>
    <row r="789" spans="1:11" ht="14.25" customHeight="1" x14ac:dyDescent="0.3">
      <c r="A789" s="9" t="s">
        <v>823</v>
      </c>
      <c r="B789" s="9" t="s">
        <v>21</v>
      </c>
      <c r="C789" s="2">
        <v>93</v>
      </c>
      <c r="D789" s="12" t="s">
        <v>24</v>
      </c>
      <c r="E789" s="3">
        <v>45201</v>
      </c>
      <c r="F789" s="15">
        <v>45</v>
      </c>
      <c r="G789" s="18">
        <v>3.9</v>
      </c>
      <c r="H789" s="9">
        <f>IF(MONTH(Data!$E789)&lt;=6, YEAR(Data!$E789), YEAR(Data!$E789)+1)</f>
        <v>2024</v>
      </c>
      <c r="I789" s="9" t="str">
        <f>TEXT(Data!$E789,"DDDD")</f>
        <v>Monday</v>
      </c>
      <c r="J789" s="9" t="s">
        <v>14</v>
      </c>
      <c r="K789" s="23">
        <f>ROUND(Data!$G789,0)</f>
        <v>4</v>
      </c>
    </row>
    <row r="790" spans="1:11" ht="14.25" customHeight="1" x14ac:dyDescent="0.3">
      <c r="A790" s="9" t="s">
        <v>824</v>
      </c>
      <c r="B790" s="9" t="s">
        <v>68</v>
      </c>
      <c r="C790" s="2">
        <v>43</v>
      </c>
      <c r="D790" s="12" t="s">
        <v>24</v>
      </c>
      <c r="E790" s="3">
        <v>45201</v>
      </c>
      <c r="F790" s="15">
        <v>87</v>
      </c>
      <c r="G790" s="18">
        <v>3</v>
      </c>
      <c r="H790" s="9">
        <f>IF(MONTH(Data!$E790)&lt;=6, YEAR(Data!$E790), YEAR(Data!$E790)+1)</f>
        <v>2024</v>
      </c>
      <c r="I790" s="9" t="str">
        <f>TEXT(Data!$E790,"DDDD")</f>
        <v>Monday</v>
      </c>
      <c r="J790" s="9" t="s">
        <v>27</v>
      </c>
      <c r="K790" s="23">
        <f>ROUND(Data!$G790,0)</f>
        <v>3</v>
      </c>
    </row>
    <row r="791" spans="1:11" ht="14.25" customHeight="1" x14ac:dyDescent="0.3">
      <c r="A791" s="9" t="s">
        <v>825</v>
      </c>
      <c r="B791" s="9" t="s">
        <v>40</v>
      </c>
      <c r="C791" s="2">
        <v>78</v>
      </c>
      <c r="D791" s="12" t="s">
        <v>31</v>
      </c>
      <c r="E791" s="3">
        <v>45202</v>
      </c>
      <c r="F791" s="15">
        <v>84</v>
      </c>
      <c r="G791" s="18">
        <v>4.5999999999999996</v>
      </c>
      <c r="H791" s="9">
        <f>IF(MONTH(Data!$E791)&lt;=6, YEAR(Data!$E791), YEAR(Data!$E791)+1)</f>
        <v>2024</v>
      </c>
      <c r="I791" s="9" t="str">
        <f>TEXT(Data!$E791,"DDDD")</f>
        <v>Tuesday</v>
      </c>
      <c r="J791" s="9" t="s">
        <v>14</v>
      </c>
      <c r="K791" s="23">
        <f>ROUND(Data!$G791,0)</f>
        <v>5</v>
      </c>
    </row>
    <row r="792" spans="1:11" ht="14.25" customHeight="1" x14ac:dyDescent="0.3">
      <c r="A792" s="9" t="s">
        <v>826</v>
      </c>
      <c r="B792" s="9" t="s">
        <v>46</v>
      </c>
      <c r="C792" s="2">
        <v>89</v>
      </c>
      <c r="D792" s="12" t="s">
        <v>13</v>
      </c>
      <c r="E792" s="3">
        <v>45202</v>
      </c>
      <c r="F792" s="15">
        <v>81</v>
      </c>
      <c r="G792" s="18">
        <v>3.8</v>
      </c>
      <c r="H792" s="9">
        <f>IF(MONTH(Data!$E792)&lt;=6, YEAR(Data!$E792), YEAR(Data!$E792)+1)</f>
        <v>2024</v>
      </c>
      <c r="I792" s="9" t="str">
        <f>TEXT(Data!$E792,"DDDD")</f>
        <v>Tuesday</v>
      </c>
      <c r="J792" s="9" t="s">
        <v>14</v>
      </c>
      <c r="K792" s="23">
        <f>ROUND(Data!$G792,0)</f>
        <v>4</v>
      </c>
    </row>
    <row r="793" spans="1:11" ht="14.25" customHeight="1" x14ac:dyDescent="0.3">
      <c r="A793" s="9" t="s">
        <v>827</v>
      </c>
      <c r="B793" s="9" t="s">
        <v>29</v>
      </c>
      <c r="C793" s="2">
        <v>82</v>
      </c>
      <c r="D793" s="12" t="s">
        <v>19</v>
      </c>
      <c r="E793" s="3">
        <v>45202</v>
      </c>
      <c r="F793" s="15">
        <v>130</v>
      </c>
      <c r="G793" s="18">
        <v>4.4000000000000004</v>
      </c>
      <c r="H793" s="9">
        <f>IF(MONTH(Data!$E793)&lt;=6, YEAR(Data!$E793), YEAR(Data!$E793)+1)</f>
        <v>2024</v>
      </c>
      <c r="I793" s="9" t="str">
        <f>TEXT(Data!$E793,"DDDD")</f>
        <v>Tuesday</v>
      </c>
      <c r="J793" s="9" t="s">
        <v>14</v>
      </c>
      <c r="K793" s="23">
        <f>ROUND(Data!$G793,0)</f>
        <v>4</v>
      </c>
    </row>
    <row r="794" spans="1:11" ht="14.25" customHeight="1" x14ac:dyDescent="0.3">
      <c r="A794" s="9" t="s">
        <v>828</v>
      </c>
      <c r="B794" s="9" t="s">
        <v>23</v>
      </c>
      <c r="C794" s="2">
        <v>86</v>
      </c>
      <c r="D794" s="12" t="s">
        <v>13</v>
      </c>
      <c r="E794" s="3">
        <v>45203</v>
      </c>
      <c r="F794" s="15">
        <v>92</v>
      </c>
      <c r="G794" s="18">
        <v>2.4</v>
      </c>
      <c r="H794" s="9">
        <f>IF(MONTH(Data!$E794)&lt;=6, YEAR(Data!$E794), YEAR(Data!$E794)+1)</f>
        <v>2024</v>
      </c>
      <c r="I794" s="9" t="str">
        <f>TEXT(Data!$E794,"DDDD")</f>
        <v>Wednesday</v>
      </c>
      <c r="J794" s="9" t="s">
        <v>14</v>
      </c>
      <c r="K794" s="23">
        <f>ROUND(Data!$G794,0)</f>
        <v>2</v>
      </c>
    </row>
    <row r="795" spans="1:11" ht="14.25" customHeight="1" x14ac:dyDescent="0.3">
      <c r="A795" s="9" t="s">
        <v>829</v>
      </c>
      <c r="B795" s="9" t="s">
        <v>58</v>
      </c>
      <c r="C795" s="2">
        <v>57</v>
      </c>
      <c r="D795" s="12" t="s">
        <v>31</v>
      </c>
      <c r="E795" s="3">
        <v>45203</v>
      </c>
      <c r="F795" s="15">
        <v>48</v>
      </c>
      <c r="G795" s="18">
        <v>4.5</v>
      </c>
      <c r="H795" s="9">
        <f>IF(MONTH(Data!$E795)&lt;=6, YEAR(Data!$E795), YEAR(Data!$E795)+1)</f>
        <v>2024</v>
      </c>
      <c r="I795" s="9" t="str">
        <f>TEXT(Data!$E795,"DDDD")</f>
        <v>Wednesday</v>
      </c>
      <c r="J795" s="9" t="s">
        <v>27</v>
      </c>
      <c r="K795" s="23">
        <f>ROUND(Data!$G795,0)</f>
        <v>5</v>
      </c>
    </row>
    <row r="796" spans="1:11" ht="14.25" customHeight="1" x14ac:dyDescent="0.3">
      <c r="A796" s="9" t="s">
        <v>830</v>
      </c>
      <c r="B796" s="9" t="s">
        <v>21</v>
      </c>
      <c r="C796" s="2">
        <v>103</v>
      </c>
      <c r="D796" s="12" t="s">
        <v>35</v>
      </c>
      <c r="E796" s="3">
        <v>45203</v>
      </c>
      <c r="F796" s="15">
        <v>160</v>
      </c>
      <c r="G796" s="18">
        <v>4.5</v>
      </c>
      <c r="H796" s="9">
        <f>IF(MONTH(Data!$E796)&lt;=6, YEAR(Data!$E796), YEAR(Data!$E796)+1)</f>
        <v>2024</v>
      </c>
      <c r="I796" s="9" t="str">
        <f>TEXT(Data!$E796,"DDDD")</f>
        <v>Wednesday</v>
      </c>
      <c r="J796" s="9" t="s">
        <v>14</v>
      </c>
      <c r="K796" s="23">
        <f>ROUND(Data!$G796,0)</f>
        <v>5</v>
      </c>
    </row>
    <row r="797" spans="1:11" ht="14.25" customHeight="1" x14ac:dyDescent="0.3">
      <c r="A797" s="9" t="s">
        <v>831</v>
      </c>
      <c r="B797" s="9" t="s">
        <v>38</v>
      </c>
      <c r="C797" s="2">
        <v>138</v>
      </c>
      <c r="D797" s="12" t="s">
        <v>31</v>
      </c>
      <c r="E797" s="3">
        <v>45204</v>
      </c>
      <c r="F797" s="15">
        <v>155</v>
      </c>
      <c r="G797" s="18">
        <v>2.7</v>
      </c>
      <c r="H797" s="9">
        <f>IF(MONTH(Data!$E797)&lt;=6, YEAR(Data!$E797), YEAR(Data!$E797)+1)</f>
        <v>2024</v>
      </c>
      <c r="I797" s="9" t="str">
        <f>TEXT(Data!$E797,"DDDD")</f>
        <v>Thursday</v>
      </c>
      <c r="J797" s="9" t="s">
        <v>25</v>
      </c>
      <c r="K797" s="23">
        <f>ROUND(Data!$G797,0)</f>
        <v>3</v>
      </c>
    </row>
    <row r="798" spans="1:11" ht="14.25" customHeight="1" x14ac:dyDescent="0.3">
      <c r="A798" s="9" t="s">
        <v>832</v>
      </c>
      <c r="B798" s="9" t="s">
        <v>34</v>
      </c>
      <c r="C798" s="2">
        <v>88</v>
      </c>
      <c r="D798" s="12" t="s">
        <v>19</v>
      </c>
      <c r="E798" s="3">
        <v>45204</v>
      </c>
      <c r="F798" s="15">
        <v>100</v>
      </c>
      <c r="G798" s="18">
        <v>4.9000000000000004</v>
      </c>
      <c r="H798" s="9">
        <f>IF(MONTH(Data!$E798)&lt;=6, YEAR(Data!$E798), YEAR(Data!$E798)+1)</f>
        <v>2024</v>
      </c>
      <c r="I798" s="9" t="str">
        <f>TEXT(Data!$E798,"DDDD")</f>
        <v>Thursday</v>
      </c>
      <c r="J798" s="9" t="s">
        <v>14</v>
      </c>
      <c r="K798" s="23">
        <f>ROUND(Data!$G798,0)</f>
        <v>5</v>
      </c>
    </row>
    <row r="799" spans="1:11" ht="14.25" customHeight="1" x14ac:dyDescent="0.3">
      <c r="A799" s="9" t="s">
        <v>833</v>
      </c>
      <c r="B799" s="9" t="s">
        <v>46</v>
      </c>
      <c r="C799" s="2">
        <v>118</v>
      </c>
      <c r="D799" s="12" t="s">
        <v>24</v>
      </c>
      <c r="E799" s="3">
        <v>45204</v>
      </c>
      <c r="F799" s="15">
        <v>56</v>
      </c>
      <c r="G799" s="18">
        <v>3.7</v>
      </c>
      <c r="H799" s="9">
        <f>IF(MONTH(Data!$E799)&lt;=6, YEAR(Data!$E799), YEAR(Data!$E799)+1)</f>
        <v>2024</v>
      </c>
      <c r="I799" s="9" t="str">
        <f>TEXT(Data!$E799,"DDDD")</f>
        <v>Thursday</v>
      </c>
      <c r="J799" s="9" t="s">
        <v>14</v>
      </c>
      <c r="K799" s="23">
        <f>ROUND(Data!$G799,0)</f>
        <v>4</v>
      </c>
    </row>
    <row r="800" spans="1:11" ht="14.25" customHeight="1" x14ac:dyDescent="0.3">
      <c r="A800" s="9" t="s">
        <v>834</v>
      </c>
      <c r="B800" s="9" t="s">
        <v>23</v>
      </c>
      <c r="C800" s="2">
        <v>4</v>
      </c>
      <c r="D800" s="12" t="s">
        <v>13</v>
      </c>
      <c r="E800" s="3">
        <v>45204</v>
      </c>
      <c r="F800" s="15">
        <v>170</v>
      </c>
      <c r="G800" s="18">
        <v>3.9</v>
      </c>
      <c r="H800" s="9">
        <f>IF(MONTH(Data!$E800)&lt;=6, YEAR(Data!$E800), YEAR(Data!$E800)+1)</f>
        <v>2024</v>
      </c>
      <c r="I800" s="9" t="str">
        <f>TEXT(Data!$E800,"DDDD")</f>
        <v>Thursday</v>
      </c>
      <c r="J800" s="9" t="s">
        <v>176</v>
      </c>
      <c r="K800" s="23">
        <f>ROUND(Data!$G800,0)</f>
        <v>4</v>
      </c>
    </row>
    <row r="801" spans="1:11" ht="14.25" customHeight="1" x14ac:dyDescent="0.3">
      <c r="A801" s="9" t="s">
        <v>835</v>
      </c>
      <c r="B801" s="9" t="s">
        <v>68</v>
      </c>
      <c r="C801" s="2">
        <v>78</v>
      </c>
      <c r="D801" s="12" t="s">
        <v>35</v>
      </c>
      <c r="E801" s="3">
        <v>45205</v>
      </c>
      <c r="F801" s="15">
        <v>74</v>
      </c>
      <c r="G801" s="18">
        <v>3.5</v>
      </c>
      <c r="H801" s="9">
        <f>IF(MONTH(Data!$E801)&lt;=6, YEAR(Data!$E801), YEAR(Data!$E801)+1)</f>
        <v>2024</v>
      </c>
      <c r="I801" s="9" t="str">
        <f>TEXT(Data!$E801,"DDDD")</f>
        <v>Friday</v>
      </c>
      <c r="J801" s="9" t="s">
        <v>14</v>
      </c>
      <c r="K801" s="23">
        <f>ROUND(Data!$G801,0)</f>
        <v>4</v>
      </c>
    </row>
    <row r="802" spans="1:11" ht="14.25" customHeight="1" x14ac:dyDescent="0.3">
      <c r="A802" s="9" t="s">
        <v>836</v>
      </c>
      <c r="B802" s="9" t="s">
        <v>50</v>
      </c>
      <c r="C802" s="2">
        <v>69</v>
      </c>
      <c r="D802" s="12" t="s">
        <v>13</v>
      </c>
      <c r="E802" s="3">
        <v>45205</v>
      </c>
      <c r="F802" s="15">
        <v>99</v>
      </c>
      <c r="G802" s="18">
        <v>2.7</v>
      </c>
      <c r="H802" s="9">
        <f>IF(MONTH(Data!$E802)&lt;=6, YEAR(Data!$E802), YEAR(Data!$E802)+1)</f>
        <v>2024</v>
      </c>
      <c r="I802" s="9" t="str">
        <f>TEXT(Data!$E802,"DDDD")</f>
        <v>Friday</v>
      </c>
      <c r="J802" s="9" t="s">
        <v>14</v>
      </c>
      <c r="K802" s="23">
        <f>ROUND(Data!$G802,0)</f>
        <v>3</v>
      </c>
    </row>
    <row r="803" spans="1:11" ht="14.25" customHeight="1" x14ac:dyDescent="0.3">
      <c r="A803" s="9" t="s">
        <v>837</v>
      </c>
      <c r="B803" s="9" t="s">
        <v>29</v>
      </c>
      <c r="C803" s="2">
        <v>90</v>
      </c>
      <c r="D803" s="12" t="s">
        <v>31</v>
      </c>
      <c r="E803" s="3">
        <v>45205</v>
      </c>
      <c r="F803" s="15">
        <v>84</v>
      </c>
      <c r="G803" s="18">
        <v>3.9</v>
      </c>
      <c r="H803" s="9">
        <f>IF(MONTH(Data!$E803)&lt;=6, YEAR(Data!$E803), YEAR(Data!$E803)+1)</f>
        <v>2024</v>
      </c>
      <c r="I803" s="9" t="str">
        <f>TEXT(Data!$E803,"DDDD")</f>
        <v>Friday</v>
      </c>
      <c r="J803" s="9" t="s">
        <v>14</v>
      </c>
      <c r="K803" s="23">
        <f>ROUND(Data!$G803,0)</f>
        <v>4</v>
      </c>
    </row>
    <row r="804" spans="1:11" ht="14.25" customHeight="1" x14ac:dyDescent="0.3">
      <c r="A804" s="9" t="s">
        <v>838</v>
      </c>
      <c r="B804" s="9" t="s">
        <v>50</v>
      </c>
      <c r="C804" s="2">
        <v>134</v>
      </c>
      <c r="D804" s="12" t="s">
        <v>13</v>
      </c>
      <c r="E804" s="3">
        <v>45205</v>
      </c>
      <c r="F804" s="15">
        <v>35</v>
      </c>
      <c r="G804" s="18">
        <v>3.4</v>
      </c>
      <c r="H804" s="9">
        <f>IF(MONTH(Data!$E804)&lt;=6, YEAR(Data!$E804), YEAR(Data!$E804)+1)</f>
        <v>2024</v>
      </c>
      <c r="I804" s="9" t="str">
        <f>TEXT(Data!$E804,"DDDD")</f>
        <v>Friday</v>
      </c>
      <c r="J804" s="9" t="s">
        <v>25</v>
      </c>
      <c r="K804" s="23">
        <f>ROUND(Data!$G804,0)</f>
        <v>3</v>
      </c>
    </row>
    <row r="805" spans="1:11" ht="14.25" customHeight="1" x14ac:dyDescent="0.3">
      <c r="A805" s="9" t="s">
        <v>839</v>
      </c>
      <c r="B805" s="9" t="s">
        <v>16</v>
      </c>
      <c r="C805" s="2">
        <v>65</v>
      </c>
      <c r="D805" s="12" t="s">
        <v>24</v>
      </c>
      <c r="E805" s="3">
        <v>45205</v>
      </c>
      <c r="F805" s="15">
        <v>150</v>
      </c>
      <c r="G805" s="18">
        <v>5</v>
      </c>
      <c r="H805" s="9">
        <f>IF(MONTH(Data!$E805)&lt;=6, YEAR(Data!$E805), YEAR(Data!$E805)+1)</f>
        <v>2024</v>
      </c>
      <c r="I805" s="9" t="str">
        <f>TEXT(Data!$E805,"DDDD")</f>
        <v>Friday</v>
      </c>
      <c r="J805" s="9" t="s">
        <v>14</v>
      </c>
      <c r="K805" s="23">
        <f>ROUND(Data!$G805,0)</f>
        <v>5</v>
      </c>
    </row>
    <row r="806" spans="1:11" ht="14.25" customHeight="1" x14ac:dyDescent="0.3">
      <c r="A806" s="9" t="s">
        <v>840</v>
      </c>
      <c r="B806" s="9" t="s">
        <v>18</v>
      </c>
      <c r="C806" s="2">
        <v>54</v>
      </c>
      <c r="D806" s="12" t="s">
        <v>35</v>
      </c>
      <c r="E806" s="3">
        <v>45206</v>
      </c>
      <c r="F806" s="15">
        <v>176</v>
      </c>
      <c r="G806" s="18">
        <v>4.4000000000000004</v>
      </c>
      <c r="H806" s="9">
        <f>IF(MONTH(Data!$E806)&lt;=6, YEAR(Data!$E806), YEAR(Data!$E806)+1)</f>
        <v>2024</v>
      </c>
      <c r="I806" s="9" t="str">
        <f>TEXT(Data!$E806,"DDDD")</f>
        <v>Saturday</v>
      </c>
      <c r="J806" s="9" t="s">
        <v>27</v>
      </c>
      <c r="K806" s="23">
        <f>ROUND(Data!$G806,0)</f>
        <v>4</v>
      </c>
    </row>
    <row r="807" spans="1:11" ht="14.25" customHeight="1" x14ac:dyDescent="0.3">
      <c r="A807" s="9" t="s">
        <v>841</v>
      </c>
      <c r="B807" s="9" t="s">
        <v>18</v>
      </c>
      <c r="C807" s="2">
        <v>90</v>
      </c>
      <c r="D807" s="12" t="s">
        <v>35</v>
      </c>
      <c r="E807" s="3">
        <v>45206</v>
      </c>
      <c r="F807" s="15">
        <v>84</v>
      </c>
      <c r="G807" s="18">
        <v>4.3</v>
      </c>
      <c r="H807" s="9">
        <f>IF(MONTH(Data!$E807)&lt;=6, YEAR(Data!$E807), YEAR(Data!$E807)+1)</f>
        <v>2024</v>
      </c>
      <c r="I807" s="9" t="str">
        <f>TEXT(Data!$E807,"DDDD")</f>
        <v>Saturday</v>
      </c>
      <c r="J807" s="9" t="s">
        <v>14</v>
      </c>
      <c r="K807" s="23">
        <f>ROUND(Data!$G807,0)</f>
        <v>4</v>
      </c>
    </row>
    <row r="808" spans="1:11" ht="14.25" customHeight="1" x14ac:dyDescent="0.3">
      <c r="A808" s="9" t="s">
        <v>842</v>
      </c>
      <c r="B808" s="9" t="s">
        <v>29</v>
      </c>
      <c r="C808" s="2">
        <v>66</v>
      </c>
      <c r="D808" s="12" t="s">
        <v>35</v>
      </c>
      <c r="E808" s="3">
        <v>45206</v>
      </c>
      <c r="F808" s="15">
        <v>136</v>
      </c>
      <c r="G808" s="18">
        <v>4.7</v>
      </c>
      <c r="H808" s="9">
        <f>IF(MONTH(Data!$E808)&lt;=6, YEAR(Data!$E808), YEAR(Data!$E808)+1)</f>
        <v>2024</v>
      </c>
      <c r="I808" s="9" t="str">
        <f>TEXT(Data!$E808,"DDDD")</f>
        <v>Saturday</v>
      </c>
      <c r="J808" s="9" t="s">
        <v>14</v>
      </c>
      <c r="K808" s="23">
        <f>ROUND(Data!$G808,0)</f>
        <v>5</v>
      </c>
    </row>
    <row r="809" spans="1:11" ht="14.25" customHeight="1" x14ac:dyDescent="0.3">
      <c r="A809" s="9" t="s">
        <v>843</v>
      </c>
      <c r="B809" s="9" t="s">
        <v>23</v>
      </c>
      <c r="C809" s="2">
        <v>150</v>
      </c>
      <c r="D809" s="12" t="s">
        <v>35</v>
      </c>
      <c r="E809" s="3">
        <v>45207</v>
      </c>
      <c r="F809" s="15">
        <v>70</v>
      </c>
      <c r="G809" s="18">
        <v>4.0999999999999996</v>
      </c>
      <c r="H809" s="9">
        <f>IF(MONTH(Data!$E809)&lt;=6, YEAR(Data!$E809), YEAR(Data!$E809)+1)</f>
        <v>2024</v>
      </c>
      <c r="I809" s="9" t="str">
        <f>TEXT(Data!$E809,"DDDD")</f>
        <v>Sunday</v>
      </c>
      <c r="J809" s="9" t="s">
        <v>25</v>
      </c>
      <c r="K809" s="23">
        <f>ROUND(Data!$G809,0)</f>
        <v>4</v>
      </c>
    </row>
    <row r="810" spans="1:11" ht="14.25" customHeight="1" x14ac:dyDescent="0.3">
      <c r="A810" s="9" t="s">
        <v>844</v>
      </c>
      <c r="B810" s="9" t="s">
        <v>40</v>
      </c>
      <c r="C810" s="2">
        <v>18</v>
      </c>
      <c r="D810" s="12" t="s">
        <v>24</v>
      </c>
      <c r="E810" s="3">
        <v>45207</v>
      </c>
      <c r="F810" s="15">
        <v>96</v>
      </c>
      <c r="G810" s="18">
        <v>4.8</v>
      </c>
      <c r="H810" s="9">
        <f>IF(MONTH(Data!$E810)&lt;=6, YEAR(Data!$E810), YEAR(Data!$E810)+1)</f>
        <v>2024</v>
      </c>
      <c r="I810" s="9" t="str">
        <f>TEXT(Data!$E810,"DDDD")</f>
        <v>Sunday</v>
      </c>
      <c r="J810" s="9" t="s">
        <v>47</v>
      </c>
      <c r="K810" s="23">
        <f>ROUND(Data!$G810,0)</f>
        <v>5</v>
      </c>
    </row>
    <row r="811" spans="1:11" ht="14.25" customHeight="1" x14ac:dyDescent="0.3">
      <c r="A811" s="9" t="s">
        <v>845</v>
      </c>
      <c r="B811" s="9" t="s">
        <v>18</v>
      </c>
      <c r="C811" s="2">
        <v>87</v>
      </c>
      <c r="D811" s="12" t="s">
        <v>24</v>
      </c>
      <c r="E811" s="3">
        <v>45207</v>
      </c>
      <c r="F811" s="15">
        <v>23</v>
      </c>
      <c r="G811" s="18">
        <v>4.2</v>
      </c>
      <c r="H811" s="9">
        <f>IF(MONTH(Data!$E811)&lt;=6, YEAR(Data!$E811), YEAR(Data!$E811)+1)</f>
        <v>2024</v>
      </c>
      <c r="I811" s="9" t="str">
        <f>TEXT(Data!$E811,"DDDD")</f>
        <v>Sunday</v>
      </c>
      <c r="J811" s="9" t="s">
        <v>14</v>
      </c>
      <c r="K811" s="23">
        <f>ROUND(Data!$G811,0)</f>
        <v>4</v>
      </c>
    </row>
    <row r="812" spans="1:11" ht="14.25" customHeight="1" x14ac:dyDescent="0.3">
      <c r="A812" s="9" t="s">
        <v>846</v>
      </c>
      <c r="B812" s="9" t="s">
        <v>38</v>
      </c>
      <c r="C812" s="2">
        <v>94</v>
      </c>
      <c r="D812" s="12" t="s">
        <v>35</v>
      </c>
      <c r="E812" s="3">
        <v>45208</v>
      </c>
      <c r="F812" s="15">
        <v>120</v>
      </c>
      <c r="G812" s="18">
        <v>3.4</v>
      </c>
      <c r="H812" s="9">
        <f>IF(MONTH(Data!$E812)&lt;=6, YEAR(Data!$E812), YEAR(Data!$E812)+1)</f>
        <v>2024</v>
      </c>
      <c r="I812" s="9" t="str">
        <f>TEXT(Data!$E812,"DDDD")</f>
        <v>Monday</v>
      </c>
      <c r="J812" s="9" t="s">
        <v>14</v>
      </c>
      <c r="K812" s="23">
        <f>ROUND(Data!$G812,0)</f>
        <v>3</v>
      </c>
    </row>
    <row r="813" spans="1:11" ht="14.25" customHeight="1" x14ac:dyDescent="0.3">
      <c r="A813" s="9" t="s">
        <v>847</v>
      </c>
      <c r="B813" s="9" t="s">
        <v>58</v>
      </c>
      <c r="C813" s="2">
        <v>56</v>
      </c>
      <c r="D813" s="12" t="s">
        <v>35</v>
      </c>
      <c r="E813" s="3">
        <v>45208</v>
      </c>
      <c r="F813" s="15">
        <v>205</v>
      </c>
      <c r="G813" s="18">
        <v>3.3</v>
      </c>
      <c r="H813" s="9">
        <f>IF(MONTH(Data!$E813)&lt;=6, YEAR(Data!$E813), YEAR(Data!$E813)+1)</f>
        <v>2024</v>
      </c>
      <c r="I813" s="9" t="str">
        <f>TEXT(Data!$E813,"DDDD")</f>
        <v>Monday</v>
      </c>
      <c r="J813" s="9" t="s">
        <v>27</v>
      </c>
      <c r="K813" s="23">
        <f>ROUND(Data!$G813,0)</f>
        <v>3</v>
      </c>
    </row>
    <row r="814" spans="1:11" ht="14.25" customHeight="1" x14ac:dyDescent="0.3">
      <c r="A814" s="9" t="s">
        <v>848</v>
      </c>
      <c r="B814" s="9" t="s">
        <v>46</v>
      </c>
      <c r="C814" s="2">
        <v>41</v>
      </c>
      <c r="D814" s="12" t="s">
        <v>19</v>
      </c>
      <c r="E814" s="3">
        <v>45209</v>
      </c>
      <c r="F814" s="15">
        <v>42</v>
      </c>
      <c r="G814" s="18">
        <v>3.8</v>
      </c>
      <c r="H814" s="9">
        <f>IF(MONTH(Data!$E814)&lt;=6, YEAR(Data!$E814), YEAR(Data!$E814)+1)</f>
        <v>2024</v>
      </c>
      <c r="I814" s="9" t="str">
        <f>TEXT(Data!$E814,"DDDD")</f>
        <v>Tuesday</v>
      </c>
      <c r="J814" s="9" t="s">
        <v>27</v>
      </c>
      <c r="K814" s="23">
        <f>ROUND(Data!$G814,0)</f>
        <v>4</v>
      </c>
    </row>
    <row r="815" spans="1:11" ht="14.25" customHeight="1" x14ac:dyDescent="0.3">
      <c r="A815" s="9" t="s">
        <v>849</v>
      </c>
      <c r="B815" s="9" t="s">
        <v>23</v>
      </c>
      <c r="C815" s="2">
        <v>119</v>
      </c>
      <c r="D815" s="12" t="s">
        <v>31</v>
      </c>
      <c r="E815" s="3">
        <v>45209</v>
      </c>
      <c r="F815" s="15">
        <v>111</v>
      </c>
      <c r="G815" s="18">
        <v>3.9</v>
      </c>
      <c r="H815" s="9">
        <f>IF(MONTH(Data!$E815)&lt;=6, YEAR(Data!$E815), YEAR(Data!$E815)+1)</f>
        <v>2024</v>
      </c>
      <c r="I815" s="9" t="str">
        <f>TEXT(Data!$E815,"DDDD")</f>
        <v>Tuesday</v>
      </c>
      <c r="J815" s="9" t="s">
        <v>14</v>
      </c>
      <c r="K815" s="23">
        <f>ROUND(Data!$G815,0)</f>
        <v>4</v>
      </c>
    </row>
    <row r="816" spans="1:11" ht="14.25" customHeight="1" x14ac:dyDescent="0.3">
      <c r="A816" s="9" t="s">
        <v>850</v>
      </c>
      <c r="B816" s="9" t="s">
        <v>21</v>
      </c>
      <c r="C816" s="2">
        <v>108</v>
      </c>
      <c r="D816" s="12" t="s">
        <v>35</v>
      </c>
      <c r="E816" s="3">
        <v>45209</v>
      </c>
      <c r="F816" s="15">
        <v>68</v>
      </c>
      <c r="G816" s="18">
        <v>2.5</v>
      </c>
      <c r="H816" s="9">
        <f>IF(MONTH(Data!$E816)&lt;=6, YEAR(Data!$E816), YEAR(Data!$E816)+1)</f>
        <v>2024</v>
      </c>
      <c r="I816" s="9" t="str">
        <f>TEXT(Data!$E816,"DDDD")</f>
        <v>Tuesday</v>
      </c>
      <c r="J816" s="9" t="s">
        <v>14</v>
      </c>
      <c r="K816" s="23">
        <f>ROUND(Data!$G816,0)</f>
        <v>3</v>
      </c>
    </row>
    <row r="817" spans="1:11" ht="14.25" customHeight="1" x14ac:dyDescent="0.3">
      <c r="A817" s="9" t="s">
        <v>851</v>
      </c>
      <c r="B817" s="9" t="s">
        <v>68</v>
      </c>
      <c r="C817" s="2">
        <v>63</v>
      </c>
      <c r="D817" s="12" t="s">
        <v>13</v>
      </c>
      <c r="E817" s="3">
        <v>45209</v>
      </c>
      <c r="F817" s="15">
        <v>172</v>
      </c>
      <c r="G817" s="18">
        <v>4.9000000000000004</v>
      </c>
      <c r="H817" s="9">
        <f>IF(MONTH(Data!$E817)&lt;=6, YEAR(Data!$E817), YEAR(Data!$E817)+1)</f>
        <v>2024</v>
      </c>
      <c r="I817" s="9" t="str">
        <f>TEXT(Data!$E817,"DDDD")</f>
        <v>Tuesday</v>
      </c>
      <c r="J817" s="9" t="s">
        <v>14</v>
      </c>
      <c r="K817" s="23">
        <f>ROUND(Data!$G817,0)</f>
        <v>5</v>
      </c>
    </row>
    <row r="818" spans="1:11" ht="14.25" customHeight="1" x14ac:dyDescent="0.3">
      <c r="A818" s="9" t="s">
        <v>852</v>
      </c>
      <c r="B818" s="9" t="s">
        <v>55</v>
      </c>
      <c r="C818" s="2">
        <v>59</v>
      </c>
      <c r="D818" s="12" t="s">
        <v>35</v>
      </c>
      <c r="E818" s="3">
        <v>45209</v>
      </c>
      <c r="F818" s="15">
        <v>152</v>
      </c>
      <c r="G818" s="18">
        <v>4.8</v>
      </c>
      <c r="H818" s="9">
        <f>IF(MONTH(Data!$E818)&lt;=6, YEAR(Data!$E818), YEAR(Data!$E818)+1)</f>
        <v>2024</v>
      </c>
      <c r="I818" s="9" t="str">
        <f>TEXT(Data!$E818,"DDDD")</f>
        <v>Tuesday</v>
      </c>
      <c r="J818" s="9" t="s">
        <v>27</v>
      </c>
      <c r="K818" s="23">
        <f>ROUND(Data!$G818,0)</f>
        <v>5</v>
      </c>
    </row>
    <row r="819" spans="1:11" ht="14.25" customHeight="1" x14ac:dyDescent="0.3">
      <c r="A819" s="9" t="s">
        <v>853</v>
      </c>
      <c r="B819" s="9" t="s">
        <v>55</v>
      </c>
      <c r="C819" s="2">
        <v>90</v>
      </c>
      <c r="D819" s="12" t="s">
        <v>19</v>
      </c>
      <c r="E819" s="3">
        <v>45209</v>
      </c>
      <c r="F819" s="15">
        <v>48</v>
      </c>
      <c r="G819" s="18">
        <v>4.7</v>
      </c>
      <c r="H819" s="9">
        <f>IF(MONTH(Data!$E819)&lt;=6, YEAR(Data!$E819), YEAR(Data!$E819)+1)</f>
        <v>2024</v>
      </c>
      <c r="I819" s="9" t="str">
        <f>TEXT(Data!$E819,"DDDD")</f>
        <v>Tuesday</v>
      </c>
      <c r="J819" s="9" t="s">
        <v>14</v>
      </c>
      <c r="K819" s="23">
        <f>ROUND(Data!$G819,0)</f>
        <v>5</v>
      </c>
    </row>
    <row r="820" spans="1:11" ht="14.25" customHeight="1" x14ac:dyDescent="0.3">
      <c r="A820" s="9" t="s">
        <v>854</v>
      </c>
      <c r="B820" s="9" t="s">
        <v>34</v>
      </c>
      <c r="C820" s="2">
        <v>55</v>
      </c>
      <c r="D820" s="12" t="s">
        <v>19</v>
      </c>
      <c r="E820" s="3">
        <v>45209</v>
      </c>
      <c r="F820" s="15">
        <v>25</v>
      </c>
      <c r="G820" s="18">
        <v>4.7</v>
      </c>
      <c r="H820" s="9">
        <f>IF(MONTH(Data!$E820)&lt;=6, YEAR(Data!$E820), YEAR(Data!$E820)+1)</f>
        <v>2024</v>
      </c>
      <c r="I820" s="9" t="str">
        <f>TEXT(Data!$E820,"DDDD")</f>
        <v>Tuesday</v>
      </c>
      <c r="J820" s="9" t="s">
        <v>27</v>
      </c>
      <c r="K820" s="23">
        <f>ROUND(Data!$G820,0)</f>
        <v>5</v>
      </c>
    </row>
    <row r="821" spans="1:11" ht="14.25" customHeight="1" x14ac:dyDescent="0.3">
      <c r="A821" s="9" t="s">
        <v>855</v>
      </c>
      <c r="B821" s="9" t="s">
        <v>21</v>
      </c>
      <c r="C821" s="2">
        <v>84</v>
      </c>
      <c r="D821" s="12" t="s">
        <v>31</v>
      </c>
      <c r="E821" s="3">
        <v>45210</v>
      </c>
      <c r="F821" s="15">
        <v>54</v>
      </c>
      <c r="G821" s="18">
        <v>3.3</v>
      </c>
      <c r="H821" s="9">
        <f>IF(MONTH(Data!$E821)&lt;=6, YEAR(Data!$E821), YEAR(Data!$E821)+1)</f>
        <v>2024</v>
      </c>
      <c r="I821" s="9" t="str">
        <f>TEXT(Data!$E821,"DDDD")</f>
        <v>Wednesday</v>
      </c>
      <c r="J821" s="9" t="s">
        <v>14</v>
      </c>
      <c r="K821" s="23">
        <f>ROUND(Data!$G821,0)</f>
        <v>3</v>
      </c>
    </row>
    <row r="822" spans="1:11" ht="14.25" customHeight="1" x14ac:dyDescent="0.3">
      <c r="A822" s="9" t="s">
        <v>856</v>
      </c>
      <c r="B822" s="9" t="s">
        <v>21</v>
      </c>
      <c r="C822" s="2">
        <v>150</v>
      </c>
      <c r="D822" s="12" t="s">
        <v>24</v>
      </c>
      <c r="E822" s="3">
        <v>45210</v>
      </c>
      <c r="F822" s="15">
        <v>108</v>
      </c>
      <c r="G822" s="18">
        <v>4.7</v>
      </c>
      <c r="H822" s="9">
        <f>IF(MONTH(Data!$E822)&lt;=6, YEAR(Data!$E822), YEAR(Data!$E822)+1)</f>
        <v>2024</v>
      </c>
      <c r="I822" s="9" t="str">
        <f>TEXT(Data!$E822,"DDDD")</f>
        <v>Wednesday</v>
      </c>
      <c r="J822" s="9" t="s">
        <v>25</v>
      </c>
      <c r="K822" s="23">
        <f>ROUND(Data!$G822,0)</f>
        <v>5</v>
      </c>
    </row>
    <row r="823" spans="1:11" ht="14.25" customHeight="1" x14ac:dyDescent="0.3">
      <c r="A823" s="9" t="s">
        <v>857</v>
      </c>
      <c r="B823" s="9" t="s">
        <v>88</v>
      </c>
      <c r="C823" s="2">
        <v>69</v>
      </c>
      <c r="D823" s="12" t="s">
        <v>35</v>
      </c>
      <c r="E823" s="3">
        <v>45210</v>
      </c>
      <c r="F823" s="15">
        <v>36</v>
      </c>
      <c r="G823" s="18">
        <v>4.5</v>
      </c>
      <c r="H823" s="9">
        <f>IF(MONTH(Data!$E823)&lt;=6, YEAR(Data!$E823), YEAR(Data!$E823)+1)</f>
        <v>2024</v>
      </c>
      <c r="I823" s="9" t="str">
        <f>TEXT(Data!$E823,"DDDD")</f>
        <v>Wednesday</v>
      </c>
      <c r="J823" s="9" t="s">
        <v>14</v>
      </c>
      <c r="K823" s="23">
        <f>ROUND(Data!$G823,0)</f>
        <v>5</v>
      </c>
    </row>
    <row r="824" spans="1:11" ht="14.25" customHeight="1" x14ac:dyDescent="0.3">
      <c r="A824" s="9" t="s">
        <v>858</v>
      </c>
      <c r="B824" s="9" t="s">
        <v>12</v>
      </c>
      <c r="C824" s="2">
        <v>120</v>
      </c>
      <c r="D824" s="12" t="s">
        <v>19</v>
      </c>
      <c r="E824" s="3">
        <v>45211</v>
      </c>
      <c r="F824" s="15">
        <v>140</v>
      </c>
      <c r="G824" s="18">
        <v>4.5999999999999996</v>
      </c>
      <c r="H824" s="9">
        <f>IF(MONTH(Data!$E824)&lt;=6, YEAR(Data!$E824), YEAR(Data!$E824)+1)</f>
        <v>2024</v>
      </c>
      <c r="I824" s="9" t="str">
        <f>TEXT(Data!$E824,"DDDD")</f>
        <v>Thursday</v>
      </c>
      <c r="J824" s="9" t="s">
        <v>14</v>
      </c>
      <c r="K824" s="23">
        <f>ROUND(Data!$G824,0)</f>
        <v>5</v>
      </c>
    </row>
    <row r="825" spans="1:11" ht="14.25" customHeight="1" x14ac:dyDescent="0.3">
      <c r="A825" s="9" t="s">
        <v>859</v>
      </c>
      <c r="B825" s="9" t="s">
        <v>18</v>
      </c>
      <c r="C825" s="2">
        <v>126</v>
      </c>
      <c r="D825" s="12" t="s">
        <v>31</v>
      </c>
      <c r="E825" s="3">
        <v>45211</v>
      </c>
      <c r="F825" s="15">
        <v>50</v>
      </c>
      <c r="G825" s="18">
        <v>4.8</v>
      </c>
      <c r="H825" s="9">
        <f>IF(MONTH(Data!$E825)&lt;=6, YEAR(Data!$E825), YEAR(Data!$E825)+1)</f>
        <v>2024</v>
      </c>
      <c r="I825" s="9" t="str">
        <f>TEXT(Data!$E825,"DDDD")</f>
        <v>Thursday</v>
      </c>
      <c r="J825" s="9" t="s">
        <v>25</v>
      </c>
      <c r="K825" s="23">
        <f>ROUND(Data!$G825,0)</f>
        <v>5</v>
      </c>
    </row>
    <row r="826" spans="1:11" ht="14.25" customHeight="1" x14ac:dyDescent="0.3">
      <c r="A826" s="9" t="s">
        <v>860</v>
      </c>
      <c r="B826" s="9" t="s">
        <v>88</v>
      </c>
      <c r="C826" s="2">
        <v>120</v>
      </c>
      <c r="D826" s="12" t="s">
        <v>13</v>
      </c>
      <c r="E826" s="3">
        <v>45211</v>
      </c>
      <c r="F826" s="15">
        <v>195</v>
      </c>
      <c r="G826" s="18">
        <v>4.3</v>
      </c>
      <c r="H826" s="9">
        <f>IF(MONTH(Data!$E826)&lt;=6, YEAR(Data!$E826), YEAR(Data!$E826)+1)</f>
        <v>2024</v>
      </c>
      <c r="I826" s="9" t="str">
        <f>TEXT(Data!$E826,"DDDD")</f>
        <v>Thursday</v>
      </c>
      <c r="J826" s="9" t="s">
        <v>14</v>
      </c>
      <c r="K826" s="23">
        <f>ROUND(Data!$G826,0)</f>
        <v>4</v>
      </c>
    </row>
    <row r="827" spans="1:11" ht="14.25" customHeight="1" x14ac:dyDescent="0.3">
      <c r="A827" s="9" t="s">
        <v>861</v>
      </c>
      <c r="B827" s="9" t="s">
        <v>18</v>
      </c>
      <c r="C827" s="2">
        <v>139</v>
      </c>
      <c r="D827" s="12" t="s">
        <v>19</v>
      </c>
      <c r="E827" s="3">
        <v>45212</v>
      </c>
      <c r="F827" s="15">
        <v>48</v>
      </c>
      <c r="G827" s="18">
        <v>4.7</v>
      </c>
      <c r="H827" s="9">
        <f>IF(MONTH(Data!$E827)&lt;=6, YEAR(Data!$E827), YEAR(Data!$E827)+1)</f>
        <v>2024</v>
      </c>
      <c r="I827" s="9" t="str">
        <f>TEXT(Data!$E827,"DDDD")</f>
        <v>Friday</v>
      </c>
      <c r="J827" s="9" t="s">
        <v>25</v>
      </c>
      <c r="K827" s="23">
        <f>ROUND(Data!$G827,0)</f>
        <v>5</v>
      </c>
    </row>
    <row r="828" spans="1:11" ht="14.25" customHeight="1" x14ac:dyDescent="0.3">
      <c r="A828" s="9" t="s">
        <v>862</v>
      </c>
      <c r="B828" s="9" t="s">
        <v>34</v>
      </c>
      <c r="C828" s="2">
        <v>124</v>
      </c>
      <c r="D828" s="12" t="s">
        <v>35</v>
      </c>
      <c r="E828" s="3">
        <v>45213</v>
      </c>
      <c r="F828" s="15">
        <v>29</v>
      </c>
      <c r="G828" s="18">
        <v>4.8</v>
      </c>
      <c r="H828" s="9">
        <f>IF(MONTH(Data!$E828)&lt;=6, YEAR(Data!$E828), YEAR(Data!$E828)+1)</f>
        <v>2024</v>
      </c>
      <c r="I828" s="9" t="str">
        <f>TEXT(Data!$E828,"DDDD")</f>
        <v>Saturday</v>
      </c>
      <c r="J828" s="9" t="s">
        <v>25</v>
      </c>
      <c r="K828" s="23">
        <f>ROUND(Data!$G828,0)</f>
        <v>5</v>
      </c>
    </row>
    <row r="829" spans="1:11" ht="14.25" customHeight="1" x14ac:dyDescent="0.3">
      <c r="A829" s="9" t="s">
        <v>863</v>
      </c>
      <c r="B829" s="9" t="s">
        <v>12</v>
      </c>
      <c r="C829" s="2">
        <v>108</v>
      </c>
      <c r="D829" s="12" t="s">
        <v>13</v>
      </c>
      <c r="E829" s="3">
        <v>45213</v>
      </c>
      <c r="F829" s="15">
        <v>44</v>
      </c>
      <c r="G829" s="18">
        <v>4.7</v>
      </c>
      <c r="H829" s="9">
        <f>IF(MONTH(Data!$E829)&lt;=6, YEAR(Data!$E829), YEAR(Data!$E829)+1)</f>
        <v>2024</v>
      </c>
      <c r="I829" s="9" t="str">
        <f>TEXT(Data!$E829,"DDDD")</f>
        <v>Saturday</v>
      </c>
      <c r="J829" s="9" t="s">
        <v>14</v>
      </c>
      <c r="K829" s="23">
        <f>ROUND(Data!$G829,0)</f>
        <v>5</v>
      </c>
    </row>
    <row r="830" spans="1:11" ht="14.25" customHeight="1" x14ac:dyDescent="0.3">
      <c r="A830" s="9" t="s">
        <v>864</v>
      </c>
      <c r="B830" s="9" t="s">
        <v>16</v>
      </c>
      <c r="C830" s="2">
        <v>132</v>
      </c>
      <c r="D830" s="12" t="s">
        <v>24</v>
      </c>
      <c r="E830" s="3">
        <v>45213</v>
      </c>
      <c r="F830" s="15">
        <v>140</v>
      </c>
      <c r="G830" s="18">
        <v>4.3</v>
      </c>
      <c r="H830" s="9">
        <f>IF(MONTH(Data!$E830)&lt;=6, YEAR(Data!$E830), YEAR(Data!$E830)+1)</f>
        <v>2024</v>
      </c>
      <c r="I830" s="9" t="str">
        <f>TEXT(Data!$E830,"DDDD")</f>
        <v>Saturday</v>
      </c>
      <c r="J830" s="9" t="s">
        <v>25</v>
      </c>
      <c r="K830" s="23">
        <f>ROUND(Data!$G830,0)</f>
        <v>4</v>
      </c>
    </row>
    <row r="831" spans="1:11" ht="14.25" customHeight="1" x14ac:dyDescent="0.3">
      <c r="A831" s="9" t="s">
        <v>865</v>
      </c>
      <c r="B831" s="9" t="s">
        <v>68</v>
      </c>
      <c r="C831" s="2">
        <v>67</v>
      </c>
      <c r="D831" s="12" t="s">
        <v>24</v>
      </c>
      <c r="E831" s="3">
        <v>45213</v>
      </c>
      <c r="F831" s="15">
        <v>105</v>
      </c>
      <c r="G831" s="18">
        <v>3.8</v>
      </c>
      <c r="H831" s="9">
        <f>IF(MONTH(Data!$E831)&lt;=6, YEAR(Data!$E831), YEAR(Data!$E831)+1)</f>
        <v>2024</v>
      </c>
      <c r="I831" s="9" t="str">
        <f>TEXT(Data!$E831,"DDDD")</f>
        <v>Saturday</v>
      </c>
      <c r="J831" s="9" t="s">
        <v>14</v>
      </c>
      <c r="K831" s="23">
        <f>ROUND(Data!$G831,0)</f>
        <v>4</v>
      </c>
    </row>
    <row r="832" spans="1:11" ht="14.25" customHeight="1" x14ac:dyDescent="0.3">
      <c r="A832" s="9" t="s">
        <v>866</v>
      </c>
      <c r="B832" s="9" t="s">
        <v>29</v>
      </c>
      <c r="C832" s="2">
        <v>125</v>
      </c>
      <c r="D832" s="12" t="s">
        <v>24</v>
      </c>
      <c r="E832" s="3">
        <v>45213</v>
      </c>
      <c r="F832" s="15">
        <v>82</v>
      </c>
      <c r="G832" s="18">
        <v>4.5999999999999996</v>
      </c>
      <c r="H832" s="9">
        <f>IF(MONTH(Data!$E832)&lt;=6, YEAR(Data!$E832), YEAR(Data!$E832)+1)</f>
        <v>2024</v>
      </c>
      <c r="I832" s="9" t="str">
        <f>TEXT(Data!$E832,"DDDD")</f>
        <v>Saturday</v>
      </c>
      <c r="J832" s="9" t="s">
        <v>25</v>
      </c>
      <c r="K832" s="23">
        <f>ROUND(Data!$G832,0)</f>
        <v>5</v>
      </c>
    </row>
    <row r="833" spans="1:11" ht="14.25" customHeight="1" x14ac:dyDescent="0.3">
      <c r="A833" s="9" t="s">
        <v>867</v>
      </c>
      <c r="B833" s="9" t="s">
        <v>12</v>
      </c>
      <c r="C833" s="2">
        <v>23</v>
      </c>
      <c r="D833" s="12" t="s">
        <v>13</v>
      </c>
      <c r="E833" s="3">
        <v>45213</v>
      </c>
      <c r="F833" s="15">
        <v>24</v>
      </c>
      <c r="G833" s="18">
        <v>2.9</v>
      </c>
      <c r="H833" s="9">
        <f>IF(MONTH(Data!$E833)&lt;=6, YEAR(Data!$E833), YEAR(Data!$E833)+1)</f>
        <v>2024</v>
      </c>
      <c r="I833" s="9" t="str">
        <f>TEXT(Data!$E833,"DDDD")</f>
        <v>Saturday</v>
      </c>
      <c r="J833" s="9" t="s">
        <v>47</v>
      </c>
      <c r="K833" s="23">
        <f>ROUND(Data!$G833,0)</f>
        <v>3</v>
      </c>
    </row>
    <row r="834" spans="1:11" ht="14.25" customHeight="1" x14ac:dyDescent="0.3">
      <c r="A834" s="9" t="s">
        <v>868</v>
      </c>
      <c r="B834" s="9" t="s">
        <v>23</v>
      </c>
      <c r="C834" s="2">
        <v>131</v>
      </c>
      <c r="D834" s="12" t="s">
        <v>35</v>
      </c>
      <c r="E834" s="3">
        <v>45214</v>
      </c>
      <c r="F834" s="15">
        <v>205</v>
      </c>
      <c r="G834" s="18">
        <v>4.8</v>
      </c>
      <c r="H834" s="9">
        <f>IF(MONTH(Data!$E834)&lt;=6, YEAR(Data!$E834), YEAR(Data!$E834)+1)</f>
        <v>2024</v>
      </c>
      <c r="I834" s="9" t="str">
        <f>TEXT(Data!$E834,"DDDD")</f>
        <v>Sunday</v>
      </c>
      <c r="J834" s="9" t="s">
        <v>25</v>
      </c>
      <c r="K834" s="23">
        <f>ROUND(Data!$G834,0)</f>
        <v>5</v>
      </c>
    </row>
    <row r="835" spans="1:11" ht="14.25" customHeight="1" x14ac:dyDescent="0.3">
      <c r="A835" s="9" t="s">
        <v>869</v>
      </c>
      <c r="B835" s="9" t="s">
        <v>16</v>
      </c>
      <c r="C835" s="2">
        <v>56</v>
      </c>
      <c r="D835" s="12" t="s">
        <v>19</v>
      </c>
      <c r="E835" s="3">
        <v>45214</v>
      </c>
      <c r="F835" s="15">
        <v>225</v>
      </c>
      <c r="G835" s="18">
        <v>4.9000000000000004</v>
      </c>
      <c r="H835" s="9">
        <f>IF(MONTH(Data!$E835)&lt;=6, YEAR(Data!$E835), YEAR(Data!$E835)+1)</f>
        <v>2024</v>
      </c>
      <c r="I835" s="9" t="str">
        <f>TEXT(Data!$E835,"DDDD")</f>
        <v>Sunday</v>
      </c>
      <c r="J835" s="9" t="s">
        <v>27</v>
      </c>
      <c r="K835" s="23">
        <f>ROUND(Data!$G835,0)</f>
        <v>5</v>
      </c>
    </row>
    <row r="836" spans="1:11" ht="14.25" customHeight="1" x14ac:dyDescent="0.3">
      <c r="A836" s="9" t="s">
        <v>870</v>
      </c>
      <c r="B836" s="9" t="s">
        <v>23</v>
      </c>
      <c r="C836" s="2">
        <v>70</v>
      </c>
      <c r="D836" s="12" t="s">
        <v>35</v>
      </c>
      <c r="E836" s="3">
        <v>45214</v>
      </c>
      <c r="F836" s="15">
        <v>50</v>
      </c>
      <c r="G836" s="18">
        <v>3.4</v>
      </c>
      <c r="H836" s="9">
        <f>IF(MONTH(Data!$E836)&lt;=6, YEAR(Data!$E836), YEAR(Data!$E836)+1)</f>
        <v>2024</v>
      </c>
      <c r="I836" s="9" t="str">
        <f>TEXT(Data!$E836,"DDDD")</f>
        <v>Sunday</v>
      </c>
      <c r="J836" s="9" t="s">
        <v>14</v>
      </c>
      <c r="K836" s="23">
        <f>ROUND(Data!$G836,0)</f>
        <v>3</v>
      </c>
    </row>
    <row r="837" spans="1:11" ht="14.25" customHeight="1" x14ac:dyDescent="0.3">
      <c r="A837" s="9" t="s">
        <v>871</v>
      </c>
      <c r="B837" s="9" t="s">
        <v>23</v>
      </c>
      <c r="C837" s="2">
        <v>55</v>
      </c>
      <c r="D837" s="12" t="s">
        <v>24</v>
      </c>
      <c r="E837" s="3">
        <v>45214</v>
      </c>
      <c r="F837" s="15">
        <v>80</v>
      </c>
      <c r="G837" s="18">
        <v>4.3</v>
      </c>
      <c r="H837" s="9">
        <f>IF(MONTH(Data!$E837)&lt;=6, YEAR(Data!$E837), YEAR(Data!$E837)+1)</f>
        <v>2024</v>
      </c>
      <c r="I837" s="9" t="str">
        <f>TEXT(Data!$E837,"DDDD")</f>
        <v>Sunday</v>
      </c>
      <c r="J837" s="9" t="s">
        <v>27</v>
      </c>
      <c r="K837" s="23">
        <f>ROUND(Data!$G837,0)</f>
        <v>4</v>
      </c>
    </row>
    <row r="838" spans="1:11" ht="14.25" customHeight="1" x14ac:dyDescent="0.3">
      <c r="A838" s="9" t="s">
        <v>872</v>
      </c>
      <c r="B838" s="9" t="s">
        <v>29</v>
      </c>
      <c r="C838" s="2">
        <v>77</v>
      </c>
      <c r="D838" s="12" t="s">
        <v>19</v>
      </c>
      <c r="E838" s="3">
        <v>45214</v>
      </c>
      <c r="F838" s="15">
        <v>78</v>
      </c>
      <c r="G838" s="18">
        <v>3.9</v>
      </c>
      <c r="H838" s="9">
        <f>IF(MONTH(Data!$E838)&lt;=6, YEAR(Data!$E838), YEAR(Data!$E838)+1)</f>
        <v>2024</v>
      </c>
      <c r="I838" s="9" t="str">
        <f>TEXT(Data!$E838,"DDDD")</f>
        <v>Sunday</v>
      </c>
      <c r="J838" s="9" t="s">
        <v>14</v>
      </c>
      <c r="K838" s="23">
        <f>ROUND(Data!$G838,0)</f>
        <v>4</v>
      </c>
    </row>
    <row r="839" spans="1:11" ht="14.25" customHeight="1" x14ac:dyDescent="0.3">
      <c r="A839" s="9" t="s">
        <v>873</v>
      </c>
      <c r="B839" s="9" t="s">
        <v>21</v>
      </c>
      <c r="C839" s="2">
        <v>133</v>
      </c>
      <c r="D839" s="12" t="s">
        <v>35</v>
      </c>
      <c r="E839" s="3">
        <v>45215</v>
      </c>
      <c r="F839" s="15">
        <v>40</v>
      </c>
      <c r="G839" s="18">
        <v>3.9</v>
      </c>
      <c r="H839" s="9">
        <f>IF(MONTH(Data!$E839)&lt;=6, YEAR(Data!$E839), YEAR(Data!$E839)+1)</f>
        <v>2024</v>
      </c>
      <c r="I839" s="9" t="str">
        <f>TEXT(Data!$E839,"DDDD")</f>
        <v>Monday</v>
      </c>
      <c r="J839" s="9" t="s">
        <v>25</v>
      </c>
      <c r="K839" s="23">
        <f>ROUND(Data!$G839,0)</f>
        <v>4</v>
      </c>
    </row>
    <row r="840" spans="1:11" ht="14.25" customHeight="1" x14ac:dyDescent="0.3">
      <c r="A840" s="9" t="s">
        <v>874</v>
      </c>
      <c r="B840" s="9" t="s">
        <v>29</v>
      </c>
      <c r="C840" s="2">
        <v>77</v>
      </c>
      <c r="D840" s="12" t="s">
        <v>19</v>
      </c>
      <c r="E840" s="3">
        <v>45215</v>
      </c>
      <c r="F840" s="15">
        <v>176</v>
      </c>
      <c r="G840" s="18">
        <v>1.5</v>
      </c>
      <c r="H840" s="9">
        <f>IF(MONTH(Data!$E840)&lt;=6, YEAR(Data!$E840), YEAR(Data!$E840)+1)</f>
        <v>2024</v>
      </c>
      <c r="I840" s="9" t="str">
        <f>TEXT(Data!$E840,"DDDD")</f>
        <v>Monday</v>
      </c>
      <c r="J840" s="9" t="s">
        <v>14</v>
      </c>
      <c r="K840" s="23">
        <f>ROUND(Data!$G840,0)</f>
        <v>2</v>
      </c>
    </row>
    <row r="841" spans="1:11" ht="14.25" customHeight="1" x14ac:dyDescent="0.3">
      <c r="A841" s="9" t="s">
        <v>875</v>
      </c>
      <c r="B841" s="9" t="s">
        <v>55</v>
      </c>
      <c r="C841" s="2">
        <v>103</v>
      </c>
      <c r="D841" s="12" t="s">
        <v>35</v>
      </c>
      <c r="E841" s="3">
        <v>45215</v>
      </c>
      <c r="F841" s="15">
        <v>78</v>
      </c>
      <c r="G841" s="18">
        <v>3</v>
      </c>
      <c r="H841" s="9">
        <f>IF(MONTH(Data!$E841)&lt;=6, YEAR(Data!$E841), YEAR(Data!$E841)+1)</f>
        <v>2024</v>
      </c>
      <c r="I841" s="9" t="str">
        <f>TEXT(Data!$E841,"DDDD")</f>
        <v>Monday</v>
      </c>
      <c r="J841" s="9" t="s">
        <v>14</v>
      </c>
      <c r="K841" s="23">
        <f>ROUND(Data!$G841,0)</f>
        <v>3</v>
      </c>
    </row>
    <row r="842" spans="1:11" ht="14.25" customHeight="1" x14ac:dyDescent="0.3">
      <c r="A842" s="9" t="s">
        <v>876</v>
      </c>
      <c r="B842" s="9" t="s">
        <v>88</v>
      </c>
      <c r="C842" s="2">
        <v>32</v>
      </c>
      <c r="D842" s="12" t="s">
        <v>19</v>
      </c>
      <c r="E842" s="3">
        <v>45215</v>
      </c>
      <c r="F842" s="15">
        <v>42</v>
      </c>
      <c r="G842" s="18">
        <v>4.2</v>
      </c>
      <c r="H842" s="9">
        <f>IF(MONTH(Data!$E842)&lt;=6, YEAR(Data!$E842), YEAR(Data!$E842)+1)</f>
        <v>2024</v>
      </c>
      <c r="I842" s="9" t="str">
        <f>TEXT(Data!$E842,"DDDD")</f>
        <v>Monday</v>
      </c>
      <c r="J842" s="9" t="s">
        <v>27</v>
      </c>
      <c r="K842" s="23">
        <f>ROUND(Data!$G842,0)</f>
        <v>4</v>
      </c>
    </row>
    <row r="843" spans="1:11" ht="14.25" customHeight="1" x14ac:dyDescent="0.3">
      <c r="A843" s="9" t="s">
        <v>877</v>
      </c>
      <c r="B843" s="9" t="s">
        <v>21</v>
      </c>
      <c r="C843" s="2">
        <v>30</v>
      </c>
      <c r="D843" s="12" t="s">
        <v>35</v>
      </c>
      <c r="E843" s="3">
        <v>45215</v>
      </c>
      <c r="F843" s="15">
        <v>38</v>
      </c>
      <c r="G843" s="18">
        <v>3.7</v>
      </c>
      <c r="H843" s="9">
        <f>IF(MONTH(Data!$E843)&lt;=6, YEAR(Data!$E843), YEAR(Data!$E843)+1)</f>
        <v>2024</v>
      </c>
      <c r="I843" s="9" t="str">
        <f>TEXT(Data!$E843,"DDDD")</f>
        <v>Monday</v>
      </c>
      <c r="J843" s="9" t="s">
        <v>47</v>
      </c>
      <c r="K843" s="23">
        <f>ROUND(Data!$G843,0)</f>
        <v>4</v>
      </c>
    </row>
    <row r="844" spans="1:11" ht="14.25" customHeight="1" x14ac:dyDescent="0.3">
      <c r="A844" s="9" t="s">
        <v>878</v>
      </c>
      <c r="B844" s="9" t="s">
        <v>18</v>
      </c>
      <c r="C844" s="2">
        <v>87</v>
      </c>
      <c r="D844" s="12" t="s">
        <v>31</v>
      </c>
      <c r="E844" s="3">
        <v>45215</v>
      </c>
      <c r="F844" s="15">
        <v>27</v>
      </c>
      <c r="G844" s="18">
        <v>4.2</v>
      </c>
      <c r="H844" s="9">
        <f>IF(MONTH(Data!$E844)&lt;=6, YEAR(Data!$E844), YEAR(Data!$E844)+1)</f>
        <v>2024</v>
      </c>
      <c r="I844" s="9" t="str">
        <f>TEXT(Data!$E844,"DDDD")</f>
        <v>Monday</v>
      </c>
      <c r="J844" s="9" t="s">
        <v>14</v>
      </c>
      <c r="K844" s="23">
        <f>ROUND(Data!$G844,0)</f>
        <v>4</v>
      </c>
    </row>
    <row r="845" spans="1:11" ht="14.25" customHeight="1" x14ac:dyDescent="0.3">
      <c r="A845" s="9" t="s">
        <v>879</v>
      </c>
      <c r="B845" s="9" t="s">
        <v>29</v>
      </c>
      <c r="C845" s="2">
        <v>137</v>
      </c>
      <c r="D845" s="12" t="s">
        <v>13</v>
      </c>
      <c r="E845" s="3">
        <v>45216</v>
      </c>
      <c r="F845" s="15">
        <v>45</v>
      </c>
      <c r="G845" s="18">
        <v>4.4000000000000004</v>
      </c>
      <c r="H845" s="9">
        <f>IF(MONTH(Data!$E845)&lt;=6, YEAR(Data!$E845), YEAR(Data!$E845)+1)</f>
        <v>2024</v>
      </c>
      <c r="I845" s="9" t="str">
        <f>TEXT(Data!$E845,"DDDD")</f>
        <v>Tuesday</v>
      </c>
      <c r="J845" s="9" t="s">
        <v>25</v>
      </c>
      <c r="K845" s="23">
        <f>ROUND(Data!$G845,0)</f>
        <v>4</v>
      </c>
    </row>
    <row r="846" spans="1:11" ht="14.25" customHeight="1" x14ac:dyDescent="0.3">
      <c r="A846" s="9" t="s">
        <v>880</v>
      </c>
      <c r="B846" s="9" t="s">
        <v>38</v>
      </c>
      <c r="C846" s="2">
        <v>96</v>
      </c>
      <c r="D846" s="12" t="s">
        <v>35</v>
      </c>
      <c r="E846" s="3">
        <v>45216</v>
      </c>
      <c r="F846" s="15">
        <v>215</v>
      </c>
      <c r="G846" s="18">
        <v>4</v>
      </c>
      <c r="H846" s="9">
        <f>IF(MONTH(Data!$E846)&lt;=6, YEAR(Data!$E846), YEAR(Data!$E846)+1)</f>
        <v>2024</v>
      </c>
      <c r="I846" s="9" t="str">
        <f>TEXT(Data!$E846,"DDDD")</f>
        <v>Tuesday</v>
      </c>
      <c r="J846" s="9" t="s">
        <v>14</v>
      </c>
      <c r="K846" s="23">
        <f>ROUND(Data!$G846,0)</f>
        <v>4</v>
      </c>
    </row>
    <row r="847" spans="1:11" ht="14.25" customHeight="1" x14ac:dyDescent="0.3">
      <c r="A847" s="9" t="s">
        <v>881</v>
      </c>
      <c r="B847" s="9" t="s">
        <v>34</v>
      </c>
      <c r="C847" s="2">
        <v>155</v>
      </c>
      <c r="D847" s="12" t="s">
        <v>35</v>
      </c>
      <c r="E847" s="3">
        <v>45217</v>
      </c>
      <c r="F847" s="15">
        <v>72</v>
      </c>
      <c r="G847" s="18">
        <v>4.7</v>
      </c>
      <c r="H847" s="9">
        <f>IF(MONTH(Data!$E847)&lt;=6, YEAR(Data!$E847), YEAR(Data!$E847)+1)</f>
        <v>2024</v>
      </c>
      <c r="I847" s="9" t="str">
        <f>TEXT(Data!$E847,"DDDD")</f>
        <v>Wednesday</v>
      </c>
      <c r="J847" s="9" t="s">
        <v>25</v>
      </c>
      <c r="K847" s="23">
        <f>ROUND(Data!$G847,0)</f>
        <v>5</v>
      </c>
    </row>
    <row r="848" spans="1:11" ht="14.25" customHeight="1" x14ac:dyDescent="0.3">
      <c r="A848" s="9" t="s">
        <v>882</v>
      </c>
      <c r="B848" s="9" t="s">
        <v>21</v>
      </c>
      <c r="C848" s="2">
        <v>173</v>
      </c>
      <c r="D848" s="12" t="s">
        <v>24</v>
      </c>
      <c r="E848" s="3">
        <v>45217</v>
      </c>
      <c r="F848" s="15">
        <v>160</v>
      </c>
      <c r="G848" s="18">
        <v>2.8</v>
      </c>
      <c r="H848" s="9">
        <f>IF(MONTH(Data!$E848)&lt;=6, YEAR(Data!$E848), YEAR(Data!$E848)+1)</f>
        <v>2024</v>
      </c>
      <c r="I848" s="9" t="str">
        <f>TEXT(Data!$E848,"DDDD")</f>
        <v>Wednesday</v>
      </c>
      <c r="J848" s="9" t="s">
        <v>25</v>
      </c>
      <c r="K848" s="23">
        <f>ROUND(Data!$G848,0)</f>
        <v>3</v>
      </c>
    </row>
    <row r="849" spans="1:11" ht="14.25" customHeight="1" x14ac:dyDescent="0.3">
      <c r="A849" s="9" t="s">
        <v>883</v>
      </c>
      <c r="B849" s="9" t="s">
        <v>34</v>
      </c>
      <c r="C849" s="2">
        <v>127</v>
      </c>
      <c r="D849" s="12" t="s">
        <v>35</v>
      </c>
      <c r="E849" s="3">
        <v>45217</v>
      </c>
      <c r="F849" s="15">
        <v>165</v>
      </c>
      <c r="G849" s="18">
        <v>2.5</v>
      </c>
      <c r="H849" s="9">
        <f>IF(MONTH(Data!$E849)&lt;=6, YEAR(Data!$E849), YEAR(Data!$E849)+1)</f>
        <v>2024</v>
      </c>
      <c r="I849" s="9" t="str">
        <f>TEXT(Data!$E849,"DDDD")</f>
        <v>Wednesday</v>
      </c>
      <c r="J849" s="9" t="s">
        <v>25</v>
      </c>
      <c r="K849" s="23">
        <f>ROUND(Data!$G849,0)</f>
        <v>3</v>
      </c>
    </row>
    <row r="850" spans="1:11" ht="14.25" customHeight="1" x14ac:dyDescent="0.3">
      <c r="A850" s="9" t="s">
        <v>884</v>
      </c>
      <c r="B850" s="9" t="s">
        <v>16</v>
      </c>
      <c r="C850" s="2">
        <v>117</v>
      </c>
      <c r="D850" s="12" t="s">
        <v>24</v>
      </c>
      <c r="E850" s="3">
        <v>45217</v>
      </c>
      <c r="F850" s="15">
        <v>120</v>
      </c>
      <c r="G850" s="18">
        <v>3.4</v>
      </c>
      <c r="H850" s="9">
        <f>IF(MONTH(Data!$E850)&lt;=6, YEAR(Data!$E850), YEAR(Data!$E850)+1)</f>
        <v>2024</v>
      </c>
      <c r="I850" s="9" t="str">
        <f>TEXT(Data!$E850,"DDDD")</f>
        <v>Wednesday</v>
      </c>
      <c r="J850" s="9" t="s">
        <v>14</v>
      </c>
      <c r="K850" s="23">
        <f>ROUND(Data!$G850,0)</f>
        <v>3</v>
      </c>
    </row>
    <row r="851" spans="1:11" ht="14.25" customHeight="1" x14ac:dyDescent="0.3">
      <c r="A851" s="9" t="s">
        <v>885</v>
      </c>
      <c r="B851" s="9" t="s">
        <v>12</v>
      </c>
      <c r="C851" s="2">
        <v>133</v>
      </c>
      <c r="D851" s="12" t="s">
        <v>19</v>
      </c>
      <c r="E851" s="3">
        <v>45217</v>
      </c>
      <c r="F851" s="15">
        <v>117</v>
      </c>
      <c r="G851" s="18">
        <v>4.8</v>
      </c>
      <c r="H851" s="9">
        <f>IF(MONTH(Data!$E851)&lt;=6, YEAR(Data!$E851), YEAR(Data!$E851)+1)</f>
        <v>2024</v>
      </c>
      <c r="I851" s="9" t="str">
        <f>TEXT(Data!$E851,"DDDD")</f>
        <v>Wednesday</v>
      </c>
      <c r="J851" s="9" t="s">
        <v>25</v>
      </c>
      <c r="K851" s="23">
        <f>ROUND(Data!$G851,0)</f>
        <v>5</v>
      </c>
    </row>
    <row r="852" spans="1:11" ht="14.25" customHeight="1" x14ac:dyDescent="0.3">
      <c r="A852" s="9" t="s">
        <v>886</v>
      </c>
      <c r="B852" s="9" t="s">
        <v>40</v>
      </c>
      <c r="C852" s="2">
        <v>166</v>
      </c>
      <c r="D852" s="12" t="s">
        <v>31</v>
      </c>
      <c r="E852" s="3">
        <v>45218</v>
      </c>
      <c r="F852" s="15">
        <v>29</v>
      </c>
      <c r="G852" s="18">
        <v>4.3</v>
      </c>
      <c r="H852" s="9">
        <f>IF(MONTH(Data!$E852)&lt;=6, YEAR(Data!$E852), YEAR(Data!$E852)+1)</f>
        <v>2024</v>
      </c>
      <c r="I852" s="9" t="str">
        <f>TEXT(Data!$E852,"DDDD")</f>
        <v>Thursday</v>
      </c>
      <c r="J852" s="9" t="s">
        <v>25</v>
      </c>
      <c r="K852" s="23">
        <f>ROUND(Data!$G852,0)</f>
        <v>4</v>
      </c>
    </row>
    <row r="853" spans="1:11" ht="14.25" customHeight="1" x14ac:dyDescent="0.3">
      <c r="A853" s="9" t="s">
        <v>887</v>
      </c>
      <c r="B853" s="9" t="s">
        <v>12</v>
      </c>
      <c r="C853" s="2">
        <v>50</v>
      </c>
      <c r="D853" s="12" t="s">
        <v>24</v>
      </c>
      <c r="E853" s="3">
        <v>45218</v>
      </c>
      <c r="F853" s="15">
        <v>64</v>
      </c>
      <c r="G853" s="18">
        <v>4.5</v>
      </c>
      <c r="H853" s="9">
        <f>IF(MONTH(Data!$E853)&lt;=6, YEAR(Data!$E853), YEAR(Data!$E853)+1)</f>
        <v>2024</v>
      </c>
      <c r="I853" s="9" t="str">
        <f>TEXT(Data!$E853,"DDDD")</f>
        <v>Thursday</v>
      </c>
      <c r="J853" s="9" t="s">
        <v>27</v>
      </c>
      <c r="K853" s="23">
        <f>ROUND(Data!$G853,0)</f>
        <v>5</v>
      </c>
    </row>
    <row r="854" spans="1:11" ht="14.25" customHeight="1" x14ac:dyDescent="0.3">
      <c r="A854" s="9" t="s">
        <v>888</v>
      </c>
      <c r="B854" s="9" t="s">
        <v>55</v>
      </c>
      <c r="C854" s="2">
        <v>43</v>
      </c>
      <c r="D854" s="12" t="s">
        <v>19</v>
      </c>
      <c r="E854" s="3">
        <v>45218</v>
      </c>
      <c r="F854" s="15">
        <v>84</v>
      </c>
      <c r="G854" s="18">
        <v>3.6</v>
      </c>
      <c r="H854" s="9">
        <f>IF(MONTH(Data!$E854)&lt;=6, YEAR(Data!$E854), YEAR(Data!$E854)+1)</f>
        <v>2024</v>
      </c>
      <c r="I854" s="9" t="str">
        <f>TEXT(Data!$E854,"DDDD")</f>
        <v>Thursday</v>
      </c>
      <c r="J854" s="9" t="s">
        <v>27</v>
      </c>
      <c r="K854" s="23">
        <f>ROUND(Data!$G854,0)</f>
        <v>4</v>
      </c>
    </row>
    <row r="855" spans="1:11" ht="14.25" customHeight="1" x14ac:dyDescent="0.3">
      <c r="A855" s="9" t="s">
        <v>889</v>
      </c>
      <c r="B855" s="9" t="s">
        <v>38</v>
      </c>
      <c r="C855" s="2">
        <v>124</v>
      </c>
      <c r="D855" s="12" t="s">
        <v>35</v>
      </c>
      <c r="E855" s="3">
        <v>45218</v>
      </c>
      <c r="F855" s="15">
        <v>42</v>
      </c>
      <c r="G855" s="18">
        <v>3.7</v>
      </c>
      <c r="H855" s="9">
        <f>IF(MONTH(Data!$E855)&lt;=6, YEAR(Data!$E855), YEAR(Data!$E855)+1)</f>
        <v>2024</v>
      </c>
      <c r="I855" s="9" t="str">
        <f>TEXT(Data!$E855,"DDDD")</f>
        <v>Thursday</v>
      </c>
      <c r="J855" s="9" t="s">
        <v>25</v>
      </c>
      <c r="K855" s="23">
        <f>ROUND(Data!$G855,0)</f>
        <v>4</v>
      </c>
    </row>
    <row r="856" spans="1:11" ht="14.25" customHeight="1" x14ac:dyDescent="0.3">
      <c r="A856" s="9" t="s">
        <v>890</v>
      </c>
      <c r="B856" s="9" t="s">
        <v>21</v>
      </c>
      <c r="C856" s="2">
        <v>94</v>
      </c>
      <c r="D856" s="12" t="s">
        <v>35</v>
      </c>
      <c r="E856" s="3">
        <v>45218</v>
      </c>
      <c r="F856" s="15">
        <v>120</v>
      </c>
      <c r="G856" s="18">
        <v>3.5</v>
      </c>
      <c r="H856" s="9">
        <f>IF(MONTH(Data!$E856)&lt;=6, YEAR(Data!$E856), YEAR(Data!$E856)+1)</f>
        <v>2024</v>
      </c>
      <c r="I856" s="9" t="str">
        <f>TEXT(Data!$E856,"DDDD")</f>
        <v>Thursday</v>
      </c>
      <c r="J856" s="9" t="s">
        <v>14</v>
      </c>
      <c r="K856" s="23">
        <f>ROUND(Data!$G856,0)</f>
        <v>4</v>
      </c>
    </row>
    <row r="857" spans="1:11" ht="14.25" customHeight="1" x14ac:dyDescent="0.3">
      <c r="A857" s="9" t="s">
        <v>891</v>
      </c>
      <c r="B857" s="9" t="s">
        <v>55</v>
      </c>
      <c r="C857" s="2">
        <v>126</v>
      </c>
      <c r="D857" s="12" t="s">
        <v>31</v>
      </c>
      <c r="E857" s="3">
        <v>45219</v>
      </c>
      <c r="F857" s="15">
        <v>80</v>
      </c>
      <c r="G857" s="18">
        <v>4.7</v>
      </c>
      <c r="H857" s="9">
        <f>IF(MONTH(Data!$E857)&lt;=6, YEAR(Data!$E857), YEAR(Data!$E857)+1)</f>
        <v>2024</v>
      </c>
      <c r="I857" s="9" t="str">
        <f>TEXT(Data!$E857,"DDDD")</f>
        <v>Friday</v>
      </c>
      <c r="J857" s="9" t="s">
        <v>25</v>
      </c>
      <c r="K857" s="23">
        <f>ROUND(Data!$G857,0)</f>
        <v>5</v>
      </c>
    </row>
    <row r="858" spans="1:11" ht="14.25" customHeight="1" x14ac:dyDescent="0.3">
      <c r="A858" s="9" t="s">
        <v>892</v>
      </c>
      <c r="B858" s="9" t="s">
        <v>40</v>
      </c>
      <c r="C858" s="2">
        <v>105</v>
      </c>
      <c r="D858" s="12" t="s">
        <v>24</v>
      </c>
      <c r="E858" s="3">
        <v>45219</v>
      </c>
      <c r="F858" s="15">
        <v>185</v>
      </c>
      <c r="G858" s="18">
        <v>3.5</v>
      </c>
      <c r="H858" s="9">
        <f>IF(MONTH(Data!$E858)&lt;=6, YEAR(Data!$E858), YEAR(Data!$E858)+1)</f>
        <v>2024</v>
      </c>
      <c r="I858" s="9" t="str">
        <f>TEXT(Data!$E858,"DDDD")</f>
        <v>Friday</v>
      </c>
      <c r="J858" s="9" t="s">
        <v>14</v>
      </c>
      <c r="K858" s="23">
        <f>ROUND(Data!$G858,0)</f>
        <v>4</v>
      </c>
    </row>
    <row r="859" spans="1:11" ht="14.25" customHeight="1" x14ac:dyDescent="0.3">
      <c r="A859" s="9" t="s">
        <v>893</v>
      </c>
      <c r="B859" s="9" t="s">
        <v>23</v>
      </c>
      <c r="C859" s="2">
        <v>60</v>
      </c>
      <c r="D859" s="12" t="s">
        <v>13</v>
      </c>
      <c r="E859" s="3">
        <v>45220</v>
      </c>
      <c r="F859" s="15">
        <v>135</v>
      </c>
      <c r="G859" s="18">
        <v>3.9</v>
      </c>
      <c r="H859" s="9">
        <f>IF(MONTH(Data!$E859)&lt;=6, YEAR(Data!$E859), YEAR(Data!$E859)+1)</f>
        <v>2024</v>
      </c>
      <c r="I859" s="9" t="str">
        <f>TEXT(Data!$E859,"DDDD")</f>
        <v>Saturday</v>
      </c>
      <c r="J859" s="9" t="s">
        <v>27</v>
      </c>
      <c r="K859" s="23">
        <f>ROUND(Data!$G859,0)</f>
        <v>4</v>
      </c>
    </row>
    <row r="860" spans="1:11" ht="14.25" customHeight="1" x14ac:dyDescent="0.3">
      <c r="A860" s="9" t="s">
        <v>894</v>
      </c>
      <c r="B860" s="9" t="s">
        <v>23</v>
      </c>
      <c r="C860" s="2">
        <v>72</v>
      </c>
      <c r="D860" s="12" t="s">
        <v>24</v>
      </c>
      <c r="E860" s="3">
        <v>45220</v>
      </c>
      <c r="F860" s="15">
        <v>20</v>
      </c>
      <c r="G860" s="18">
        <v>4.8</v>
      </c>
      <c r="H860" s="9">
        <f>IF(MONTH(Data!$E860)&lt;=6, YEAR(Data!$E860), YEAR(Data!$E860)+1)</f>
        <v>2024</v>
      </c>
      <c r="I860" s="9" t="str">
        <f>TEXT(Data!$E860,"DDDD")</f>
        <v>Saturday</v>
      </c>
      <c r="J860" s="9" t="s">
        <v>14</v>
      </c>
      <c r="K860" s="23">
        <f>ROUND(Data!$G860,0)</f>
        <v>5</v>
      </c>
    </row>
    <row r="861" spans="1:11" ht="14.25" customHeight="1" x14ac:dyDescent="0.3">
      <c r="A861" s="9" t="s">
        <v>895</v>
      </c>
      <c r="B861" s="9" t="s">
        <v>58</v>
      </c>
      <c r="C861" s="2">
        <v>40</v>
      </c>
      <c r="D861" s="12" t="s">
        <v>24</v>
      </c>
      <c r="E861" s="3">
        <v>45220</v>
      </c>
      <c r="F861" s="15">
        <v>31</v>
      </c>
      <c r="G861" s="18">
        <v>4</v>
      </c>
      <c r="H861" s="9">
        <f>IF(MONTH(Data!$E861)&lt;=6, YEAR(Data!$E861), YEAR(Data!$E861)+1)</f>
        <v>2024</v>
      </c>
      <c r="I861" s="9" t="str">
        <f>TEXT(Data!$E861,"DDDD")</f>
        <v>Saturday</v>
      </c>
      <c r="J861" s="9" t="s">
        <v>27</v>
      </c>
      <c r="K861" s="23">
        <f>ROUND(Data!$G861,0)</f>
        <v>4</v>
      </c>
    </row>
    <row r="862" spans="1:11" ht="14.25" customHeight="1" x14ac:dyDescent="0.3">
      <c r="A862" s="9" t="s">
        <v>896</v>
      </c>
      <c r="B862" s="9" t="s">
        <v>88</v>
      </c>
      <c r="C862" s="2">
        <v>54</v>
      </c>
      <c r="D862" s="12" t="s">
        <v>31</v>
      </c>
      <c r="E862" s="3">
        <v>45221</v>
      </c>
      <c r="F862" s="15">
        <v>120</v>
      </c>
      <c r="G862" s="18">
        <v>4.7</v>
      </c>
      <c r="H862" s="9">
        <f>IF(MONTH(Data!$E862)&lt;=6, YEAR(Data!$E862), YEAR(Data!$E862)+1)</f>
        <v>2024</v>
      </c>
      <c r="I862" s="9" t="str">
        <f>TEXT(Data!$E862,"DDDD")</f>
        <v>Sunday</v>
      </c>
      <c r="J862" s="9" t="s">
        <v>27</v>
      </c>
      <c r="K862" s="23">
        <f>ROUND(Data!$G862,0)</f>
        <v>5</v>
      </c>
    </row>
    <row r="863" spans="1:11" ht="14.25" customHeight="1" x14ac:dyDescent="0.3">
      <c r="A863" s="9" t="s">
        <v>897</v>
      </c>
      <c r="B863" s="9" t="s">
        <v>16</v>
      </c>
      <c r="C863" s="2">
        <v>81</v>
      </c>
      <c r="D863" s="12" t="s">
        <v>19</v>
      </c>
      <c r="E863" s="3">
        <v>45221</v>
      </c>
      <c r="F863" s="15">
        <v>117</v>
      </c>
      <c r="G863" s="18">
        <v>3.6</v>
      </c>
      <c r="H863" s="9">
        <f>IF(MONTH(Data!$E863)&lt;=6, YEAR(Data!$E863), YEAR(Data!$E863)+1)</f>
        <v>2024</v>
      </c>
      <c r="I863" s="9" t="str">
        <f>TEXT(Data!$E863,"DDDD")</f>
        <v>Sunday</v>
      </c>
      <c r="J863" s="9" t="s">
        <v>14</v>
      </c>
      <c r="K863" s="23">
        <f>ROUND(Data!$G863,0)</f>
        <v>4</v>
      </c>
    </row>
    <row r="864" spans="1:11" ht="14.25" customHeight="1" x14ac:dyDescent="0.3">
      <c r="A864" s="9" t="s">
        <v>898</v>
      </c>
      <c r="B864" s="9" t="s">
        <v>88</v>
      </c>
      <c r="C864" s="2">
        <v>76</v>
      </c>
      <c r="D864" s="12" t="s">
        <v>35</v>
      </c>
      <c r="E864" s="3">
        <v>45221</v>
      </c>
      <c r="F864" s="15">
        <v>80</v>
      </c>
      <c r="G864" s="18">
        <v>4.5</v>
      </c>
      <c r="H864" s="9">
        <f>IF(MONTH(Data!$E864)&lt;=6, YEAR(Data!$E864), YEAR(Data!$E864)+1)</f>
        <v>2024</v>
      </c>
      <c r="I864" s="9" t="str">
        <f>TEXT(Data!$E864,"DDDD")</f>
        <v>Sunday</v>
      </c>
      <c r="J864" s="9" t="s">
        <v>14</v>
      </c>
      <c r="K864" s="23">
        <f>ROUND(Data!$G864,0)</f>
        <v>5</v>
      </c>
    </row>
    <row r="865" spans="1:11" ht="14.25" customHeight="1" x14ac:dyDescent="0.3">
      <c r="A865" s="9" t="s">
        <v>899</v>
      </c>
      <c r="B865" s="9" t="s">
        <v>88</v>
      </c>
      <c r="C865" s="2">
        <v>37</v>
      </c>
      <c r="D865" s="12" t="s">
        <v>13</v>
      </c>
      <c r="E865" s="3">
        <v>45222</v>
      </c>
      <c r="F865" s="15">
        <v>117</v>
      </c>
      <c r="G865" s="18">
        <v>4</v>
      </c>
      <c r="H865" s="9">
        <f>IF(MONTH(Data!$E865)&lt;=6, YEAR(Data!$E865), YEAR(Data!$E865)+1)</f>
        <v>2024</v>
      </c>
      <c r="I865" s="9" t="str">
        <f>TEXT(Data!$E865,"DDDD")</f>
        <v>Monday</v>
      </c>
      <c r="J865" s="9" t="s">
        <v>27</v>
      </c>
      <c r="K865" s="23">
        <f>ROUND(Data!$G865,0)</f>
        <v>4</v>
      </c>
    </row>
    <row r="866" spans="1:11" ht="14.25" customHeight="1" x14ac:dyDescent="0.3">
      <c r="A866" s="9" t="s">
        <v>900</v>
      </c>
      <c r="B866" s="9" t="s">
        <v>40</v>
      </c>
      <c r="C866" s="2">
        <v>96</v>
      </c>
      <c r="D866" s="12" t="s">
        <v>31</v>
      </c>
      <c r="E866" s="3">
        <v>45222</v>
      </c>
      <c r="F866" s="15">
        <v>60</v>
      </c>
      <c r="G866" s="18">
        <v>4.5</v>
      </c>
      <c r="H866" s="9">
        <f>IF(MONTH(Data!$E866)&lt;=6, YEAR(Data!$E866), YEAR(Data!$E866)+1)</f>
        <v>2024</v>
      </c>
      <c r="I866" s="9" t="str">
        <f>TEXT(Data!$E866,"DDDD")</f>
        <v>Monday</v>
      </c>
      <c r="J866" s="9" t="s">
        <v>14</v>
      </c>
      <c r="K866" s="23">
        <f>ROUND(Data!$G866,0)</f>
        <v>5</v>
      </c>
    </row>
    <row r="867" spans="1:11" ht="14.25" customHeight="1" x14ac:dyDescent="0.3">
      <c r="A867" s="9" t="s">
        <v>901</v>
      </c>
      <c r="B867" s="9" t="s">
        <v>23</v>
      </c>
      <c r="C867" s="2">
        <v>19</v>
      </c>
      <c r="D867" s="12" t="s">
        <v>35</v>
      </c>
      <c r="E867" s="3">
        <v>45223</v>
      </c>
      <c r="F867" s="15">
        <v>58</v>
      </c>
      <c r="G867" s="18">
        <v>3.9</v>
      </c>
      <c r="H867" s="9">
        <f>IF(MONTH(Data!$E867)&lt;=6, YEAR(Data!$E867), YEAR(Data!$E867)+1)</f>
        <v>2024</v>
      </c>
      <c r="I867" s="9" t="str">
        <f>TEXT(Data!$E867,"DDDD")</f>
        <v>Tuesday</v>
      </c>
      <c r="J867" s="9" t="s">
        <v>47</v>
      </c>
      <c r="K867" s="23">
        <f>ROUND(Data!$G867,0)</f>
        <v>4</v>
      </c>
    </row>
    <row r="868" spans="1:11" ht="14.25" customHeight="1" x14ac:dyDescent="0.3">
      <c r="A868" s="9" t="s">
        <v>902</v>
      </c>
      <c r="B868" s="9" t="s">
        <v>58</v>
      </c>
      <c r="C868" s="2">
        <v>72</v>
      </c>
      <c r="D868" s="12" t="s">
        <v>13</v>
      </c>
      <c r="E868" s="3">
        <v>45223</v>
      </c>
      <c r="F868" s="15">
        <v>41</v>
      </c>
      <c r="G868" s="18">
        <v>4.3</v>
      </c>
      <c r="H868" s="9">
        <f>IF(MONTH(Data!$E868)&lt;=6, YEAR(Data!$E868), YEAR(Data!$E868)+1)</f>
        <v>2024</v>
      </c>
      <c r="I868" s="9" t="str">
        <f>TEXT(Data!$E868,"DDDD")</f>
        <v>Tuesday</v>
      </c>
      <c r="J868" s="9" t="s">
        <v>14</v>
      </c>
      <c r="K868" s="23">
        <f>ROUND(Data!$G868,0)</f>
        <v>4</v>
      </c>
    </row>
    <row r="869" spans="1:11" ht="14.25" customHeight="1" x14ac:dyDescent="0.3">
      <c r="A869" s="9" t="s">
        <v>903</v>
      </c>
      <c r="B869" s="9" t="s">
        <v>21</v>
      </c>
      <c r="C869" s="2">
        <v>73</v>
      </c>
      <c r="D869" s="12" t="s">
        <v>19</v>
      </c>
      <c r="E869" s="3">
        <v>45223</v>
      </c>
      <c r="F869" s="15">
        <v>180</v>
      </c>
      <c r="G869" s="18">
        <v>3.6</v>
      </c>
      <c r="H869" s="9">
        <f>IF(MONTH(Data!$E869)&lt;=6, YEAR(Data!$E869), YEAR(Data!$E869)+1)</f>
        <v>2024</v>
      </c>
      <c r="I869" s="9" t="str">
        <f>TEXT(Data!$E869,"DDDD")</f>
        <v>Tuesday</v>
      </c>
      <c r="J869" s="9" t="s">
        <v>14</v>
      </c>
      <c r="K869" s="23">
        <f>ROUND(Data!$G869,0)</f>
        <v>4</v>
      </c>
    </row>
    <row r="870" spans="1:11" ht="14.25" customHeight="1" x14ac:dyDescent="0.3">
      <c r="A870" s="9" t="s">
        <v>904</v>
      </c>
      <c r="B870" s="9" t="s">
        <v>68</v>
      </c>
      <c r="C870" s="2">
        <v>87</v>
      </c>
      <c r="D870" s="12" t="s">
        <v>19</v>
      </c>
      <c r="E870" s="3">
        <v>45223</v>
      </c>
      <c r="F870" s="15">
        <v>42</v>
      </c>
      <c r="G870" s="18">
        <v>3.6</v>
      </c>
      <c r="H870" s="9">
        <f>IF(MONTH(Data!$E870)&lt;=6, YEAR(Data!$E870), YEAR(Data!$E870)+1)</f>
        <v>2024</v>
      </c>
      <c r="I870" s="9" t="str">
        <f>TEXT(Data!$E870,"DDDD")</f>
        <v>Tuesday</v>
      </c>
      <c r="J870" s="9" t="s">
        <v>14</v>
      </c>
      <c r="K870" s="23">
        <f>ROUND(Data!$G870,0)</f>
        <v>4</v>
      </c>
    </row>
    <row r="871" spans="1:11" ht="14.25" customHeight="1" x14ac:dyDescent="0.3">
      <c r="A871" s="9" t="s">
        <v>905</v>
      </c>
      <c r="B871" s="9" t="s">
        <v>68</v>
      </c>
      <c r="C871" s="2">
        <v>68</v>
      </c>
      <c r="D871" s="12" t="s">
        <v>19</v>
      </c>
      <c r="E871" s="3">
        <v>45224</v>
      </c>
      <c r="F871" s="15">
        <v>24</v>
      </c>
      <c r="G871" s="18">
        <v>4</v>
      </c>
      <c r="H871" s="9">
        <f>IF(MONTH(Data!$E871)&lt;=6, YEAR(Data!$E871), YEAR(Data!$E871)+1)</f>
        <v>2024</v>
      </c>
      <c r="I871" s="9" t="str">
        <f>TEXT(Data!$E871,"DDDD")</f>
        <v>Wednesday</v>
      </c>
      <c r="J871" s="9" t="s">
        <v>14</v>
      </c>
      <c r="K871" s="23">
        <f>ROUND(Data!$G871,0)</f>
        <v>4</v>
      </c>
    </row>
    <row r="872" spans="1:11" ht="14.25" customHeight="1" x14ac:dyDescent="0.3">
      <c r="A872" s="9" t="s">
        <v>906</v>
      </c>
      <c r="B872" s="9" t="s">
        <v>58</v>
      </c>
      <c r="C872" s="2">
        <v>101</v>
      </c>
      <c r="D872" s="12" t="s">
        <v>19</v>
      </c>
      <c r="E872" s="3">
        <v>45224</v>
      </c>
      <c r="F872" s="15">
        <v>125</v>
      </c>
      <c r="G872" s="18">
        <v>4.2</v>
      </c>
      <c r="H872" s="9">
        <f>IF(MONTH(Data!$E872)&lt;=6, YEAR(Data!$E872), YEAR(Data!$E872)+1)</f>
        <v>2024</v>
      </c>
      <c r="I872" s="9" t="str">
        <f>TEXT(Data!$E872,"DDDD")</f>
        <v>Wednesday</v>
      </c>
      <c r="J872" s="9" t="s">
        <v>14</v>
      </c>
      <c r="K872" s="23">
        <f>ROUND(Data!$G872,0)</f>
        <v>4</v>
      </c>
    </row>
    <row r="873" spans="1:11" ht="14.25" customHeight="1" x14ac:dyDescent="0.3">
      <c r="A873" s="9" t="s">
        <v>907</v>
      </c>
      <c r="B873" s="9" t="s">
        <v>58</v>
      </c>
      <c r="C873" s="2">
        <v>107</v>
      </c>
      <c r="D873" s="12" t="s">
        <v>13</v>
      </c>
      <c r="E873" s="3">
        <v>45225</v>
      </c>
      <c r="F873" s="15">
        <v>78</v>
      </c>
      <c r="G873" s="18">
        <v>4.3</v>
      </c>
      <c r="H873" s="9">
        <f>IF(MONTH(Data!$E873)&lt;=6, YEAR(Data!$E873), YEAR(Data!$E873)+1)</f>
        <v>2024</v>
      </c>
      <c r="I873" s="9" t="str">
        <f>TEXT(Data!$E873,"DDDD")</f>
        <v>Thursday</v>
      </c>
      <c r="J873" s="9" t="s">
        <v>14</v>
      </c>
      <c r="K873" s="23">
        <f>ROUND(Data!$G873,0)</f>
        <v>4</v>
      </c>
    </row>
    <row r="874" spans="1:11" ht="14.25" customHeight="1" x14ac:dyDescent="0.3">
      <c r="A874" s="9" t="s">
        <v>908</v>
      </c>
      <c r="B874" s="9" t="s">
        <v>46</v>
      </c>
      <c r="C874" s="2">
        <v>109</v>
      </c>
      <c r="D874" s="12" t="s">
        <v>24</v>
      </c>
      <c r="E874" s="3">
        <v>45225</v>
      </c>
      <c r="F874" s="15">
        <v>180</v>
      </c>
      <c r="G874" s="18">
        <v>3.8</v>
      </c>
      <c r="H874" s="9">
        <f>IF(MONTH(Data!$E874)&lt;=6, YEAR(Data!$E874), YEAR(Data!$E874)+1)</f>
        <v>2024</v>
      </c>
      <c r="I874" s="9" t="str">
        <f>TEXT(Data!$E874,"DDDD")</f>
        <v>Thursday</v>
      </c>
      <c r="J874" s="9" t="s">
        <v>14</v>
      </c>
      <c r="K874" s="23">
        <f>ROUND(Data!$G874,0)</f>
        <v>4</v>
      </c>
    </row>
    <row r="875" spans="1:11" ht="14.25" customHeight="1" x14ac:dyDescent="0.3">
      <c r="A875" s="9" t="s">
        <v>909</v>
      </c>
      <c r="B875" s="9" t="s">
        <v>38</v>
      </c>
      <c r="C875" s="2">
        <v>171</v>
      </c>
      <c r="D875" s="12" t="s">
        <v>13</v>
      </c>
      <c r="E875" s="3">
        <v>45225</v>
      </c>
      <c r="F875" s="15">
        <v>84</v>
      </c>
      <c r="G875" s="18">
        <v>4.4000000000000004</v>
      </c>
      <c r="H875" s="9">
        <f>IF(MONTH(Data!$E875)&lt;=6, YEAR(Data!$E875), YEAR(Data!$E875)+1)</f>
        <v>2024</v>
      </c>
      <c r="I875" s="9" t="str">
        <f>TEXT(Data!$E875,"DDDD")</f>
        <v>Thursday</v>
      </c>
      <c r="J875" s="9" t="s">
        <v>25</v>
      </c>
      <c r="K875" s="23">
        <f>ROUND(Data!$G875,0)</f>
        <v>4</v>
      </c>
    </row>
    <row r="876" spans="1:11" ht="14.25" customHeight="1" x14ac:dyDescent="0.3">
      <c r="A876" s="9" t="s">
        <v>910</v>
      </c>
      <c r="B876" s="9" t="s">
        <v>23</v>
      </c>
      <c r="C876" s="2">
        <v>21</v>
      </c>
      <c r="D876" s="12" t="s">
        <v>13</v>
      </c>
      <c r="E876" s="3">
        <v>45225</v>
      </c>
      <c r="F876" s="15">
        <v>26</v>
      </c>
      <c r="G876" s="18">
        <v>4.7</v>
      </c>
      <c r="H876" s="9">
        <f>IF(MONTH(Data!$E876)&lt;=6, YEAR(Data!$E876), YEAR(Data!$E876)+1)</f>
        <v>2024</v>
      </c>
      <c r="I876" s="9" t="str">
        <f>TEXT(Data!$E876,"DDDD")</f>
        <v>Thursday</v>
      </c>
      <c r="J876" s="9" t="s">
        <v>47</v>
      </c>
      <c r="K876" s="23">
        <f>ROUND(Data!$G876,0)</f>
        <v>5</v>
      </c>
    </row>
    <row r="877" spans="1:11" ht="14.25" customHeight="1" x14ac:dyDescent="0.3">
      <c r="A877" s="9" t="s">
        <v>911</v>
      </c>
      <c r="B877" s="9" t="s">
        <v>16</v>
      </c>
      <c r="C877" s="2">
        <v>94</v>
      </c>
      <c r="D877" s="12" t="s">
        <v>13</v>
      </c>
      <c r="E877" s="3">
        <v>45226</v>
      </c>
      <c r="F877" s="15">
        <v>140</v>
      </c>
      <c r="G877" s="18">
        <v>3.6</v>
      </c>
      <c r="H877" s="9">
        <f>IF(MONTH(Data!$E877)&lt;=6, YEAR(Data!$E877), YEAR(Data!$E877)+1)</f>
        <v>2024</v>
      </c>
      <c r="I877" s="9" t="str">
        <f>TEXT(Data!$E877,"DDDD")</f>
        <v>Friday</v>
      </c>
      <c r="J877" s="9" t="s">
        <v>14</v>
      </c>
      <c r="K877" s="23">
        <f>ROUND(Data!$G877,0)</f>
        <v>4</v>
      </c>
    </row>
    <row r="878" spans="1:11" ht="14.25" customHeight="1" x14ac:dyDescent="0.3">
      <c r="A878" s="9" t="s">
        <v>912</v>
      </c>
      <c r="B878" s="9" t="s">
        <v>21</v>
      </c>
      <c r="C878" s="2">
        <v>97</v>
      </c>
      <c r="D878" s="12" t="s">
        <v>24</v>
      </c>
      <c r="E878" s="3">
        <v>45226</v>
      </c>
      <c r="F878" s="15">
        <v>31</v>
      </c>
      <c r="G878" s="18">
        <v>2.2000000000000002</v>
      </c>
      <c r="H878" s="9">
        <f>IF(MONTH(Data!$E878)&lt;=6, YEAR(Data!$E878), YEAR(Data!$E878)+1)</f>
        <v>2024</v>
      </c>
      <c r="I878" s="9" t="str">
        <f>TEXT(Data!$E878,"DDDD")</f>
        <v>Friday</v>
      </c>
      <c r="J878" s="9" t="s">
        <v>14</v>
      </c>
      <c r="K878" s="23">
        <f>ROUND(Data!$G878,0)</f>
        <v>2</v>
      </c>
    </row>
    <row r="879" spans="1:11" ht="14.25" customHeight="1" x14ac:dyDescent="0.3">
      <c r="A879" s="9" t="s">
        <v>913</v>
      </c>
      <c r="B879" s="9" t="s">
        <v>40</v>
      </c>
      <c r="C879" s="2">
        <v>72</v>
      </c>
      <c r="D879" s="12" t="s">
        <v>24</v>
      </c>
      <c r="E879" s="3">
        <v>45226</v>
      </c>
      <c r="F879" s="15">
        <v>108</v>
      </c>
      <c r="G879" s="18">
        <v>4.8</v>
      </c>
      <c r="H879" s="9">
        <f>IF(MONTH(Data!$E879)&lt;=6, YEAR(Data!$E879), YEAR(Data!$E879)+1)</f>
        <v>2024</v>
      </c>
      <c r="I879" s="9" t="str">
        <f>TEXT(Data!$E879,"DDDD")</f>
        <v>Friday</v>
      </c>
      <c r="J879" s="9" t="s">
        <v>14</v>
      </c>
      <c r="K879" s="23">
        <f>ROUND(Data!$G879,0)</f>
        <v>5</v>
      </c>
    </row>
    <row r="880" spans="1:11" ht="14.25" customHeight="1" x14ac:dyDescent="0.3">
      <c r="A880" s="9" t="s">
        <v>914</v>
      </c>
      <c r="B880" s="9" t="s">
        <v>38</v>
      </c>
      <c r="C880" s="2">
        <v>143</v>
      </c>
      <c r="D880" s="12" t="s">
        <v>31</v>
      </c>
      <c r="E880" s="3">
        <v>45227</v>
      </c>
      <c r="F880" s="15">
        <v>58</v>
      </c>
      <c r="G880" s="18">
        <v>4.3</v>
      </c>
      <c r="H880" s="9">
        <f>IF(MONTH(Data!$E880)&lt;=6, YEAR(Data!$E880), YEAR(Data!$E880)+1)</f>
        <v>2024</v>
      </c>
      <c r="I880" s="9" t="str">
        <f>TEXT(Data!$E880,"DDDD")</f>
        <v>Saturday</v>
      </c>
      <c r="J880" s="9" t="s">
        <v>25</v>
      </c>
      <c r="K880" s="23">
        <f>ROUND(Data!$G880,0)</f>
        <v>4</v>
      </c>
    </row>
    <row r="881" spans="1:11" ht="14.25" customHeight="1" x14ac:dyDescent="0.3">
      <c r="A881" s="9" t="s">
        <v>915</v>
      </c>
      <c r="B881" s="9" t="s">
        <v>38</v>
      </c>
      <c r="C881" s="2">
        <v>64</v>
      </c>
      <c r="D881" s="12" t="s">
        <v>24</v>
      </c>
      <c r="E881" s="3">
        <v>45227</v>
      </c>
      <c r="F881" s="15">
        <v>185</v>
      </c>
      <c r="G881" s="18">
        <v>2.2000000000000002</v>
      </c>
      <c r="H881" s="9">
        <f>IF(MONTH(Data!$E881)&lt;=6, YEAR(Data!$E881), YEAR(Data!$E881)+1)</f>
        <v>2024</v>
      </c>
      <c r="I881" s="9" t="str">
        <f>TEXT(Data!$E881,"DDDD")</f>
        <v>Saturday</v>
      </c>
      <c r="J881" s="9" t="s">
        <v>14</v>
      </c>
      <c r="K881" s="23">
        <f>ROUND(Data!$G881,0)</f>
        <v>2</v>
      </c>
    </row>
    <row r="882" spans="1:11" ht="14.25" customHeight="1" x14ac:dyDescent="0.3">
      <c r="A882" s="9" t="s">
        <v>916</v>
      </c>
      <c r="B882" s="9" t="s">
        <v>38</v>
      </c>
      <c r="C882" s="2">
        <v>69</v>
      </c>
      <c r="D882" s="12" t="s">
        <v>24</v>
      </c>
      <c r="E882" s="3">
        <v>45227</v>
      </c>
      <c r="F882" s="15">
        <v>40</v>
      </c>
      <c r="G882" s="18">
        <v>4.8</v>
      </c>
      <c r="H882" s="9">
        <f>IF(MONTH(Data!$E882)&lt;=6, YEAR(Data!$E882), YEAR(Data!$E882)+1)</f>
        <v>2024</v>
      </c>
      <c r="I882" s="9" t="str">
        <f>TEXT(Data!$E882,"DDDD")</f>
        <v>Saturday</v>
      </c>
      <c r="J882" s="9" t="s">
        <v>14</v>
      </c>
      <c r="K882" s="23">
        <f>ROUND(Data!$G882,0)</f>
        <v>5</v>
      </c>
    </row>
    <row r="883" spans="1:11" ht="14.25" customHeight="1" x14ac:dyDescent="0.3">
      <c r="A883" s="9" t="s">
        <v>917</v>
      </c>
      <c r="B883" s="9" t="s">
        <v>38</v>
      </c>
      <c r="C883" s="2">
        <v>18</v>
      </c>
      <c r="D883" s="12" t="s">
        <v>35</v>
      </c>
      <c r="E883" s="3">
        <v>45227</v>
      </c>
      <c r="F883" s="15">
        <v>225</v>
      </c>
      <c r="G883" s="18">
        <v>2.6</v>
      </c>
      <c r="H883" s="9">
        <f>IF(MONTH(Data!$E883)&lt;=6, YEAR(Data!$E883), YEAR(Data!$E883)+1)</f>
        <v>2024</v>
      </c>
      <c r="I883" s="9" t="str">
        <f>TEXT(Data!$E883,"DDDD")</f>
        <v>Saturday</v>
      </c>
      <c r="J883" s="9" t="s">
        <v>47</v>
      </c>
      <c r="K883" s="23">
        <f>ROUND(Data!$G883,0)</f>
        <v>3</v>
      </c>
    </row>
    <row r="884" spans="1:11" ht="14.25" customHeight="1" x14ac:dyDescent="0.3">
      <c r="A884" s="9" t="s">
        <v>918</v>
      </c>
      <c r="B884" s="9" t="s">
        <v>21</v>
      </c>
      <c r="C884" s="2">
        <v>100</v>
      </c>
      <c r="D884" s="12" t="s">
        <v>31</v>
      </c>
      <c r="E884" s="3">
        <v>45227</v>
      </c>
      <c r="F884" s="15">
        <v>150</v>
      </c>
      <c r="G884" s="18">
        <v>2.6</v>
      </c>
      <c r="H884" s="9">
        <f>IF(MONTH(Data!$E884)&lt;=6, YEAR(Data!$E884), YEAR(Data!$E884)+1)</f>
        <v>2024</v>
      </c>
      <c r="I884" s="9" t="str">
        <f>TEXT(Data!$E884,"DDDD")</f>
        <v>Saturday</v>
      </c>
      <c r="J884" s="9" t="s">
        <v>14</v>
      </c>
      <c r="K884" s="23">
        <f>ROUND(Data!$G884,0)</f>
        <v>3</v>
      </c>
    </row>
    <row r="885" spans="1:11" ht="14.25" customHeight="1" x14ac:dyDescent="0.3">
      <c r="A885" s="9" t="s">
        <v>919</v>
      </c>
      <c r="B885" s="9" t="s">
        <v>34</v>
      </c>
      <c r="C885" s="2">
        <v>110</v>
      </c>
      <c r="D885" s="12" t="s">
        <v>19</v>
      </c>
      <c r="E885" s="3">
        <v>45228</v>
      </c>
      <c r="F885" s="15">
        <v>88</v>
      </c>
      <c r="G885" s="18">
        <v>3.4</v>
      </c>
      <c r="H885" s="9">
        <f>IF(MONTH(Data!$E885)&lt;=6, YEAR(Data!$E885), YEAR(Data!$E885)+1)</f>
        <v>2024</v>
      </c>
      <c r="I885" s="9" t="str">
        <f>TEXT(Data!$E885,"DDDD")</f>
        <v>Sunday</v>
      </c>
      <c r="J885" s="9" t="s">
        <v>14</v>
      </c>
      <c r="K885" s="23">
        <f>ROUND(Data!$G885,0)</f>
        <v>3</v>
      </c>
    </row>
    <row r="886" spans="1:11" ht="14.25" customHeight="1" x14ac:dyDescent="0.3">
      <c r="A886" s="9" t="s">
        <v>920</v>
      </c>
      <c r="B886" s="9" t="s">
        <v>50</v>
      </c>
      <c r="C886" s="2">
        <v>41</v>
      </c>
      <c r="D886" s="12" t="s">
        <v>13</v>
      </c>
      <c r="E886" s="3">
        <v>45228</v>
      </c>
      <c r="F886" s="15">
        <v>140</v>
      </c>
      <c r="G886" s="18">
        <v>3.7</v>
      </c>
      <c r="H886" s="9">
        <f>IF(MONTH(Data!$E886)&lt;=6, YEAR(Data!$E886), YEAR(Data!$E886)+1)</f>
        <v>2024</v>
      </c>
      <c r="I886" s="9" t="str">
        <f>TEXT(Data!$E886,"DDDD")</f>
        <v>Sunday</v>
      </c>
      <c r="J886" s="9" t="s">
        <v>27</v>
      </c>
      <c r="K886" s="23">
        <f>ROUND(Data!$G886,0)</f>
        <v>4</v>
      </c>
    </row>
    <row r="887" spans="1:11" ht="14.25" customHeight="1" x14ac:dyDescent="0.3">
      <c r="A887" s="9" t="s">
        <v>921</v>
      </c>
      <c r="B887" s="9" t="s">
        <v>34</v>
      </c>
      <c r="C887" s="2">
        <v>147</v>
      </c>
      <c r="D887" s="12" t="s">
        <v>19</v>
      </c>
      <c r="E887" s="3">
        <v>45228</v>
      </c>
      <c r="F887" s="15">
        <v>68</v>
      </c>
      <c r="G887" s="18">
        <v>2.1</v>
      </c>
      <c r="H887" s="9">
        <f>IF(MONTH(Data!$E887)&lt;=6, YEAR(Data!$E887), YEAR(Data!$E887)+1)</f>
        <v>2024</v>
      </c>
      <c r="I887" s="9" t="str">
        <f>TEXT(Data!$E887,"DDDD")</f>
        <v>Sunday</v>
      </c>
      <c r="J887" s="9" t="s">
        <v>25</v>
      </c>
      <c r="K887" s="23">
        <f>ROUND(Data!$G887,0)</f>
        <v>2</v>
      </c>
    </row>
    <row r="888" spans="1:11" ht="14.25" customHeight="1" x14ac:dyDescent="0.3">
      <c r="A888" s="9" t="s">
        <v>922</v>
      </c>
      <c r="B888" s="9" t="s">
        <v>16</v>
      </c>
      <c r="C888" s="2">
        <v>31</v>
      </c>
      <c r="D888" s="12" t="s">
        <v>35</v>
      </c>
      <c r="E888" s="3">
        <v>45229</v>
      </c>
      <c r="F888" s="15">
        <v>105</v>
      </c>
      <c r="G888" s="18">
        <v>3.6</v>
      </c>
      <c r="H888" s="9">
        <f>IF(MONTH(Data!$E888)&lt;=6, YEAR(Data!$E888), YEAR(Data!$E888)+1)</f>
        <v>2024</v>
      </c>
      <c r="I888" s="9" t="str">
        <f>TEXT(Data!$E888,"DDDD")</f>
        <v>Monday</v>
      </c>
      <c r="J888" s="9" t="s">
        <v>27</v>
      </c>
      <c r="K888" s="23">
        <f>ROUND(Data!$G888,0)</f>
        <v>4</v>
      </c>
    </row>
    <row r="889" spans="1:11" ht="14.25" customHeight="1" x14ac:dyDescent="0.3">
      <c r="A889" s="9" t="s">
        <v>923</v>
      </c>
      <c r="B889" s="9" t="s">
        <v>68</v>
      </c>
      <c r="C889" s="2">
        <v>142</v>
      </c>
      <c r="D889" s="12" t="s">
        <v>13</v>
      </c>
      <c r="E889" s="3">
        <v>45229</v>
      </c>
      <c r="F889" s="15">
        <v>40</v>
      </c>
      <c r="G889" s="18">
        <v>3.8</v>
      </c>
      <c r="H889" s="9">
        <f>IF(MONTH(Data!$E889)&lt;=6, YEAR(Data!$E889), YEAR(Data!$E889)+1)</f>
        <v>2024</v>
      </c>
      <c r="I889" s="9" t="str">
        <f>TEXT(Data!$E889,"DDDD")</f>
        <v>Monday</v>
      </c>
      <c r="J889" s="9" t="s">
        <v>25</v>
      </c>
      <c r="K889" s="23">
        <f>ROUND(Data!$G889,0)</f>
        <v>4</v>
      </c>
    </row>
    <row r="890" spans="1:11" ht="14.25" customHeight="1" x14ac:dyDescent="0.3">
      <c r="A890" s="9" t="s">
        <v>924</v>
      </c>
      <c r="B890" s="9" t="s">
        <v>46</v>
      </c>
      <c r="C890" s="2">
        <v>61</v>
      </c>
      <c r="D890" s="12" t="s">
        <v>13</v>
      </c>
      <c r="E890" s="3">
        <v>45229</v>
      </c>
      <c r="F890" s="15">
        <v>82</v>
      </c>
      <c r="G890" s="18">
        <v>3.1</v>
      </c>
      <c r="H890" s="9">
        <f>IF(MONTH(Data!$E890)&lt;=6, YEAR(Data!$E890), YEAR(Data!$E890)+1)</f>
        <v>2024</v>
      </c>
      <c r="I890" s="9" t="str">
        <f>TEXT(Data!$E890,"DDDD")</f>
        <v>Monday</v>
      </c>
      <c r="J890" s="9" t="s">
        <v>14</v>
      </c>
      <c r="K890" s="23">
        <f>ROUND(Data!$G890,0)</f>
        <v>3</v>
      </c>
    </row>
    <row r="891" spans="1:11" ht="14.25" customHeight="1" x14ac:dyDescent="0.3">
      <c r="A891" s="9" t="s">
        <v>925</v>
      </c>
      <c r="B891" s="9" t="s">
        <v>12</v>
      </c>
      <c r="C891" s="2">
        <v>86</v>
      </c>
      <c r="D891" s="12" t="s">
        <v>35</v>
      </c>
      <c r="E891" s="3">
        <v>45230</v>
      </c>
      <c r="F891" s="15">
        <v>90</v>
      </c>
      <c r="G891" s="18">
        <v>4.4000000000000004</v>
      </c>
      <c r="H891" s="9">
        <f>IF(MONTH(Data!$E891)&lt;=6, YEAR(Data!$E891), YEAR(Data!$E891)+1)</f>
        <v>2024</v>
      </c>
      <c r="I891" s="9" t="str">
        <f>TEXT(Data!$E891,"DDDD")</f>
        <v>Tuesday</v>
      </c>
      <c r="J891" s="9" t="s">
        <v>14</v>
      </c>
      <c r="K891" s="23">
        <f>ROUND(Data!$G891,0)</f>
        <v>4</v>
      </c>
    </row>
    <row r="892" spans="1:11" ht="14.25" customHeight="1" x14ac:dyDescent="0.3">
      <c r="A892" s="9" t="s">
        <v>926</v>
      </c>
      <c r="B892" s="9" t="s">
        <v>18</v>
      </c>
      <c r="C892" s="2">
        <v>165</v>
      </c>
      <c r="D892" s="12" t="s">
        <v>31</v>
      </c>
      <c r="E892" s="3">
        <v>45231</v>
      </c>
      <c r="F892" s="15">
        <v>66</v>
      </c>
      <c r="G892" s="18">
        <v>4.8</v>
      </c>
      <c r="H892" s="9">
        <f>IF(MONTH(Data!$E892)&lt;=6, YEAR(Data!$E892), YEAR(Data!$E892)+1)</f>
        <v>2024</v>
      </c>
      <c r="I892" s="9" t="str">
        <f>TEXT(Data!$E892,"DDDD")</f>
        <v>Wednesday</v>
      </c>
      <c r="J892" s="9" t="s">
        <v>25</v>
      </c>
      <c r="K892" s="23">
        <f>ROUND(Data!$G892,0)</f>
        <v>5</v>
      </c>
    </row>
    <row r="893" spans="1:11" ht="14.25" customHeight="1" x14ac:dyDescent="0.3">
      <c r="A893" s="9" t="s">
        <v>927</v>
      </c>
      <c r="B893" s="9" t="s">
        <v>88</v>
      </c>
      <c r="C893" s="2">
        <v>62</v>
      </c>
      <c r="D893" s="12" t="s">
        <v>19</v>
      </c>
      <c r="E893" s="3">
        <v>45231</v>
      </c>
      <c r="F893" s="15">
        <v>78</v>
      </c>
      <c r="G893" s="18">
        <v>3.5</v>
      </c>
      <c r="H893" s="9">
        <f>IF(MONTH(Data!$E893)&lt;=6, YEAR(Data!$E893), YEAR(Data!$E893)+1)</f>
        <v>2024</v>
      </c>
      <c r="I893" s="9" t="str">
        <f>TEXT(Data!$E893,"DDDD")</f>
        <v>Wednesday</v>
      </c>
      <c r="J893" s="9" t="s">
        <v>14</v>
      </c>
      <c r="K893" s="23">
        <f>ROUND(Data!$G893,0)</f>
        <v>4</v>
      </c>
    </row>
    <row r="894" spans="1:11" ht="14.25" customHeight="1" x14ac:dyDescent="0.3">
      <c r="A894" s="9" t="s">
        <v>928</v>
      </c>
      <c r="B894" s="9" t="s">
        <v>21</v>
      </c>
      <c r="C894" s="2">
        <v>103</v>
      </c>
      <c r="D894" s="12" t="s">
        <v>31</v>
      </c>
      <c r="E894" s="3">
        <v>45232</v>
      </c>
      <c r="F894" s="15">
        <v>66</v>
      </c>
      <c r="G894" s="18">
        <v>4.4000000000000004</v>
      </c>
      <c r="H894" s="9">
        <f>IF(MONTH(Data!$E894)&lt;=6, YEAR(Data!$E894), YEAR(Data!$E894)+1)</f>
        <v>2024</v>
      </c>
      <c r="I894" s="9" t="str">
        <f>TEXT(Data!$E894,"DDDD")</f>
        <v>Thursday</v>
      </c>
      <c r="J894" s="9" t="s">
        <v>14</v>
      </c>
      <c r="K894" s="23">
        <f>ROUND(Data!$G894,0)</f>
        <v>4</v>
      </c>
    </row>
    <row r="895" spans="1:11" ht="14.25" customHeight="1" x14ac:dyDescent="0.3">
      <c r="A895" s="9" t="s">
        <v>929</v>
      </c>
      <c r="B895" s="9" t="s">
        <v>68</v>
      </c>
      <c r="C895" s="2">
        <v>56</v>
      </c>
      <c r="D895" s="12" t="s">
        <v>35</v>
      </c>
      <c r="E895" s="3">
        <v>45233</v>
      </c>
      <c r="F895" s="15">
        <v>160</v>
      </c>
      <c r="G895" s="18">
        <v>3.8</v>
      </c>
      <c r="H895" s="9">
        <f>IF(MONTH(Data!$E895)&lt;=6, YEAR(Data!$E895), YEAR(Data!$E895)+1)</f>
        <v>2024</v>
      </c>
      <c r="I895" s="9" t="str">
        <f>TEXT(Data!$E895,"DDDD")</f>
        <v>Friday</v>
      </c>
      <c r="J895" s="9" t="s">
        <v>27</v>
      </c>
      <c r="K895" s="23">
        <f>ROUND(Data!$G895,0)</f>
        <v>4</v>
      </c>
    </row>
    <row r="896" spans="1:11" ht="14.25" customHeight="1" x14ac:dyDescent="0.3">
      <c r="A896" s="9" t="s">
        <v>930</v>
      </c>
      <c r="B896" s="9" t="s">
        <v>58</v>
      </c>
      <c r="C896" s="2">
        <v>114</v>
      </c>
      <c r="D896" s="12" t="s">
        <v>13</v>
      </c>
      <c r="E896" s="3">
        <v>45234</v>
      </c>
      <c r="F896" s="15">
        <v>144</v>
      </c>
      <c r="G896" s="18">
        <v>3.8</v>
      </c>
      <c r="H896" s="9">
        <f>IF(MONTH(Data!$E896)&lt;=6, YEAR(Data!$E896), YEAR(Data!$E896)+1)</f>
        <v>2024</v>
      </c>
      <c r="I896" s="9" t="str">
        <f>TEXT(Data!$E896,"DDDD")</f>
        <v>Saturday</v>
      </c>
      <c r="J896" s="9" t="s">
        <v>14</v>
      </c>
      <c r="K896" s="23">
        <f>ROUND(Data!$G896,0)</f>
        <v>4</v>
      </c>
    </row>
    <row r="897" spans="1:11" ht="14.25" customHeight="1" x14ac:dyDescent="0.3">
      <c r="A897" s="9" t="s">
        <v>931</v>
      </c>
      <c r="B897" s="9" t="s">
        <v>68</v>
      </c>
      <c r="C897" s="2">
        <v>112</v>
      </c>
      <c r="D897" s="12" t="s">
        <v>24</v>
      </c>
      <c r="E897" s="3">
        <v>45234</v>
      </c>
      <c r="F897" s="15">
        <v>200</v>
      </c>
      <c r="G897" s="18">
        <v>4.5999999999999996</v>
      </c>
      <c r="H897" s="9">
        <f>IF(MONTH(Data!$E897)&lt;=6, YEAR(Data!$E897), YEAR(Data!$E897)+1)</f>
        <v>2024</v>
      </c>
      <c r="I897" s="9" t="str">
        <f>TEXT(Data!$E897,"DDDD")</f>
        <v>Saturday</v>
      </c>
      <c r="J897" s="9" t="s">
        <v>14</v>
      </c>
      <c r="K897" s="23">
        <f>ROUND(Data!$G897,0)</f>
        <v>5</v>
      </c>
    </row>
    <row r="898" spans="1:11" ht="14.25" customHeight="1" x14ac:dyDescent="0.3">
      <c r="A898" s="9" t="s">
        <v>932</v>
      </c>
      <c r="B898" s="9" t="s">
        <v>29</v>
      </c>
      <c r="C898" s="2">
        <v>52</v>
      </c>
      <c r="D898" s="12" t="s">
        <v>19</v>
      </c>
      <c r="E898" s="3">
        <v>45236</v>
      </c>
      <c r="F898" s="15">
        <v>220</v>
      </c>
      <c r="G898" s="18">
        <v>5</v>
      </c>
      <c r="H898" s="9">
        <f>IF(MONTH(Data!$E898)&lt;=6, YEAR(Data!$E898), YEAR(Data!$E898)+1)</f>
        <v>2024</v>
      </c>
      <c r="I898" s="9" t="str">
        <f>TEXT(Data!$E898,"DDDD")</f>
        <v>Monday</v>
      </c>
      <c r="J898" s="9" t="s">
        <v>27</v>
      </c>
      <c r="K898" s="23">
        <f>ROUND(Data!$G898,0)</f>
        <v>5</v>
      </c>
    </row>
    <row r="899" spans="1:11" ht="14.25" customHeight="1" x14ac:dyDescent="0.3">
      <c r="A899" s="9" t="s">
        <v>933</v>
      </c>
      <c r="B899" s="9" t="s">
        <v>21</v>
      </c>
      <c r="C899" s="2">
        <v>105</v>
      </c>
      <c r="D899" s="12" t="s">
        <v>31</v>
      </c>
      <c r="E899" s="3">
        <v>45237</v>
      </c>
      <c r="F899" s="15">
        <v>112</v>
      </c>
      <c r="G899" s="18">
        <v>3.2</v>
      </c>
      <c r="H899" s="9">
        <f>IF(MONTH(Data!$E899)&lt;=6, YEAR(Data!$E899), YEAR(Data!$E899)+1)</f>
        <v>2024</v>
      </c>
      <c r="I899" s="9" t="str">
        <f>TEXT(Data!$E899,"DDDD")</f>
        <v>Tuesday</v>
      </c>
      <c r="J899" s="9" t="s">
        <v>14</v>
      </c>
      <c r="K899" s="23">
        <f>ROUND(Data!$G899,0)</f>
        <v>3</v>
      </c>
    </row>
    <row r="900" spans="1:11" ht="14.25" customHeight="1" x14ac:dyDescent="0.3">
      <c r="A900" s="9" t="s">
        <v>934</v>
      </c>
      <c r="B900" s="9" t="s">
        <v>18</v>
      </c>
      <c r="C900" s="2">
        <v>91</v>
      </c>
      <c r="D900" s="12" t="s">
        <v>35</v>
      </c>
      <c r="E900" s="3">
        <v>45237</v>
      </c>
      <c r="F900" s="15">
        <v>110</v>
      </c>
      <c r="G900" s="18">
        <v>3.7</v>
      </c>
      <c r="H900" s="9">
        <f>IF(MONTH(Data!$E900)&lt;=6, YEAR(Data!$E900), YEAR(Data!$E900)+1)</f>
        <v>2024</v>
      </c>
      <c r="I900" s="9" t="str">
        <f>TEXT(Data!$E900,"DDDD")</f>
        <v>Tuesday</v>
      </c>
      <c r="J900" s="9" t="s">
        <v>14</v>
      </c>
      <c r="K900" s="23">
        <f>ROUND(Data!$G900,0)</f>
        <v>4</v>
      </c>
    </row>
    <row r="901" spans="1:11" ht="14.25" customHeight="1" x14ac:dyDescent="0.3">
      <c r="A901" s="9" t="s">
        <v>935</v>
      </c>
      <c r="B901" s="9" t="s">
        <v>55</v>
      </c>
      <c r="C901" s="2">
        <v>74</v>
      </c>
      <c r="D901" s="12" t="s">
        <v>13</v>
      </c>
      <c r="E901" s="3">
        <v>45238</v>
      </c>
      <c r="F901" s="15">
        <v>160</v>
      </c>
      <c r="G901" s="18">
        <v>2.7</v>
      </c>
      <c r="H901" s="9">
        <f>IF(MONTH(Data!$E901)&lt;=6, YEAR(Data!$E901), YEAR(Data!$E901)+1)</f>
        <v>2024</v>
      </c>
      <c r="I901" s="9" t="str">
        <f>TEXT(Data!$E901,"DDDD")</f>
        <v>Wednesday</v>
      </c>
      <c r="J901" s="9" t="s">
        <v>14</v>
      </c>
      <c r="K901" s="23">
        <f>ROUND(Data!$G901,0)</f>
        <v>3</v>
      </c>
    </row>
    <row r="902" spans="1:11" ht="14.25" customHeight="1" x14ac:dyDescent="0.3">
      <c r="A902" s="9" t="s">
        <v>936</v>
      </c>
      <c r="B902" s="9" t="s">
        <v>55</v>
      </c>
      <c r="C902" s="2">
        <v>30</v>
      </c>
      <c r="D902" s="12" t="s">
        <v>35</v>
      </c>
      <c r="E902" s="3">
        <v>45238</v>
      </c>
      <c r="F902" s="15">
        <v>84</v>
      </c>
      <c r="G902" s="18">
        <v>4</v>
      </c>
      <c r="H902" s="9">
        <f>IF(MONTH(Data!$E902)&lt;=6, YEAR(Data!$E902), YEAR(Data!$E902)+1)</f>
        <v>2024</v>
      </c>
      <c r="I902" s="9" t="str">
        <f>TEXT(Data!$E902,"DDDD")</f>
        <v>Wednesday</v>
      </c>
      <c r="J902" s="9" t="s">
        <v>47</v>
      </c>
      <c r="K902" s="23">
        <f>ROUND(Data!$G902,0)</f>
        <v>4</v>
      </c>
    </row>
    <row r="903" spans="1:11" ht="14.25" customHeight="1" x14ac:dyDescent="0.3">
      <c r="A903" s="9" t="s">
        <v>937</v>
      </c>
      <c r="B903" s="9" t="s">
        <v>18</v>
      </c>
      <c r="C903" s="2">
        <v>56</v>
      </c>
      <c r="D903" s="12" t="s">
        <v>19</v>
      </c>
      <c r="E903" s="3">
        <v>45238</v>
      </c>
      <c r="F903" s="15">
        <v>124</v>
      </c>
      <c r="G903" s="18">
        <v>2.6</v>
      </c>
      <c r="H903" s="9">
        <f>IF(MONTH(Data!$E903)&lt;=6, YEAR(Data!$E903), YEAR(Data!$E903)+1)</f>
        <v>2024</v>
      </c>
      <c r="I903" s="9" t="str">
        <f>TEXT(Data!$E903,"DDDD")</f>
        <v>Wednesday</v>
      </c>
      <c r="J903" s="9" t="s">
        <v>27</v>
      </c>
      <c r="K903" s="23">
        <f>ROUND(Data!$G903,0)</f>
        <v>3</v>
      </c>
    </row>
    <row r="904" spans="1:11" ht="14.25" customHeight="1" x14ac:dyDescent="0.3">
      <c r="A904" s="9" t="s">
        <v>938</v>
      </c>
      <c r="B904" s="9" t="s">
        <v>55</v>
      </c>
      <c r="C904" s="2">
        <v>151</v>
      </c>
      <c r="D904" s="12" t="s">
        <v>24</v>
      </c>
      <c r="E904" s="3">
        <v>45238</v>
      </c>
      <c r="F904" s="15">
        <v>84</v>
      </c>
      <c r="G904" s="18">
        <v>4.5999999999999996</v>
      </c>
      <c r="H904" s="9">
        <f>IF(MONTH(Data!$E904)&lt;=6, YEAR(Data!$E904), YEAR(Data!$E904)+1)</f>
        <v>2024</v>
      </c>
      <c r="I904" s="9" t="str">
        <f>TEXT(Data!$E904,"DDDD")</f>
        <v>Wednesday</v>
      </c>
      <c r="J904" s="9" t="s">
        <v>25</v>
      </c>
      <c r="K904" s="23">
        <f>ROUND(Data!$G904,0)</f>
        <v>5</v>
      </c>
    </row>
    <row r="905" spans="1:11" ht="14.25" customHeight="1" x14ac:dyDescent="0.3">
      <c r="A905" s="9" t="s">
        <v>939</v>
      </c>
      <c r="B905" s="9" t="s">
        <v>16</v>
      </c>
      <c r="C905" s="2">
        <v>108</v>
      </c>
      <c r="D905" s="12" t="s">
        <v>31</v>
      </c>
      <c r="E905" s="3">
        <v>45239</v>
      </c>
      <c r="F905" s="15">
        <v>130</v>
      </c>
      <c r="G905" s="18">
        <v>2.7</v>
      </c>
      <c r="H905" s="9">
        <f>IF(MONTH(Data!$E905)&lt;=6, YEAR(Data!$E905), YEAR(Data!$E905)+1)</f>
        <v>2024</v>
      </c>
      <c r="I905" s="9" t="str">
        <f>TEXT(Data!$E905,"DDDD")</f>
        <v>Thursday</v>
      </c>
      <c r="J905" s="9" t="s">
        <v>14</v>
      </c>
      <c r="K905" s="23">
        <f>ROUND(Data!$G905,0)</f>
        <v>3</v>
      </c>
    </row>
    <row r="906" spans="1:11" ht="14.25" customHeight="1" x14ac:dyDescent="0.3">
      <c r="A906" s="9" t="s">
        <v>940</v>
      </c>
      <c r="B906" s="9" t="s">
        <v>58</v>
      </c>
      <c r="C906" s="2">
        <v>124</v>
      </c>
      <c r="D906" s="12" t="s">
        <v>13</v>
      </c>
      <c r="E906" s="3">
        <v>45239</v>
      </c>
      <c r="F906" s="15">
        <v>215</v>
      </c>
      <c r="G906" s="18">
        <v>3.5</v>
      </c>
      <c r="H906" s="9">
        <f>IF(MONTH(Data!$E906)&lt;=6, YEAR(Data!$E906), YEAR(Data!$E906)+1)</f>
        <v>2024</v>
      </c>
      <c r="I906" s="9" t="str">
        <f>TEXT(Data!$E906,"DDDD")</f>
        <v>Thursday</v>
      </c>
      <c r="J906" s="9" t="s">
        <v>25</v>
      </c>
      <c r="K906" s="23">
        <f>ROUND(Data!$G906,0)</f>
        <v>4</v>
      </c>
    </row>
    <row r="907" spans="1:11" ht="14.25" customHeight="1" x14ac:dyDescent="0.3">
      <c r="A907" s="9" t="s">
        <v>941</v>
      </c>
      <c r="B907" s="9" t="s">
        <v>21</v>
      </c>
      <c r="C907" s="2">
        <v>110</v>
      </c>
      <c r="D907" s="12" t="s">
        <v>19</v>
      </c>
      <c r="E907" s="3">
        <v>45240</v>
      </c>
      <c r="F907" s="15">
        <v>132</v>
      </c>
      <c r="G907" s="18">
        <v>3.6</v>
      </c>
      <c r="H907" s="9">
        <f>IF(MONTH(Data!$E907)&lt;=6, YEAR(Data!$E907), YEAR(Data!$E907)+1)</f>
        <v>2024</v>
      </c>
      <c r="I907" s="9" t="str">
        <f>TEXT(Data!$E907,"DDDD")</f>
        <v>Friday</v>
      </c>
      <c r="J907" s="9" t="s">
        <v>14</v>
      </c>
      <c r="K907" s="23">
        <f>ROUND(Data!$G907,0)</f>
        <v>4</v>
      </c>
    </row>
    <row r="908" spans="1:11" ht="14.25" customHeight="1" x14ac:dyDescent="0.3">
      <c r="A908" s="9" t="s">
        <v>942</v>
      </c>
      <c r="B908" s="9" t="s">
        <v>34</v>
      </c>
      <c r="C908" s="2">
        <v>89</v>
      </c>
      <c r="D908" s="12" t="s">
        <v>31</v>
      </c>
      <c r="E908" s="3">
        <v>45240</v>
      </c>
      <c r="F908" s="15">
        <v>88</v>
      </c>
      <c r="G908" s="18">
        <v>4.9000000000000004</v>
      </c>
      <c r="H908" s="9">
        <f>IF(MONTH(Data!$E908)&lt;=6, YEAR(Data!$E908), YEAR(Data!$E908)+1)</f>
        <v>2024</v>
      </c>
      <c r="I908" s="9" t="str">
        <f>TEXT(Data!$E908,"DDDD")</f>
        <v>Friday</v>
      </c>
      <c r="J908" s="9" t="s">
        <v>14</v>
      </c>
      <c r="K908" s="23">
        <f>ROUND(Data!$G908,0)</f>
        <v>5</v>
      </c>
    </row>
    <row r="909" spans="1:11" ht="14.25" customHeight="1" x14ac:dyDescent="0.3">
      <c r="A909" s="9" t="s">
        <v>943</v>
      </c>
      <c r="B909" s="9" t="s">
        <v>12</v>
      </c>
      <c r="C909" s="2">
        <v>95</v>
      </c>
      <c r="D909" s="12" t="s">
        <v>19</v>
      </c>
      <c r="E909" s="3">
        <v>45240</v>
      </c>
      <c r="F909" s="15">
        <v>140</v>
      </c>
      <c r="G909" s="18">
        <v>3.9</v>
      </c>
      <c r="H909" s="9">
        <f>IF(MONTH(Data!$E909)&lt;=6, YEAR(Data!$E909), YEAR(Data!$E909)+1)</f>
        <v>2024</v>
      </c>
      <c r="I909" s="9" t="str">
        <f>TEXT(Data!$E909,"DDDD")</f>
        <v>Friday</v>
      </c>
      <c r="J909" s="9" t="s">
        <v>14</v>
      </c>
      <c r="K909" s="23">
        <f>ROUND(Data!$G909,0)</f>
        <v>4</v>
      </c>
    </row>
    <row r="910" spans="1:11" ht="14.25" customHeight="1" x14ac:dyDescent="0.3">
      <c r="A910" s="9" t="s">
        <v>944</v>
      </c>
      <c r="B910" s="9" t="s">
        <v>55</v>
      </c>
      <c r="C910" s="2">
        <v>84</v>
      </c>
      <c r="D910" s="12" t="s">
        <v>31</v>
      </c>
      <c r="E910" s="3">
        <v>45241</v>
      </c>
      <c r="F910" s="15">
        <v>66</v>
      </c>
      <c r="G910" s="18">
        <v>4.7</v>
      </c>
      <c r="H910" s="9">
        <f>IF(MONTH(Data!$E910)&lt;=6, YEAR(Data!$E910), YEAR(Data!$E910)+1)</f>
        <v>2024</v>
      </c>
      <c r="I910" s="9" t="str">
        <f>TEXT(Data!$E910,"DDDD")</f>
        <v>Saturday</v>
      </c>
      <c r="J910" s="9" t="s">
        <v>14</v>
      </c>
      <c r="K910" s="23">
        <f>ROUND(Data!$G910,0)</f>
        <v>5</v>
      </c>
    </row>
    <row r="911" spans="1:11" ht="14.25" customHeight="1" x14ac:dyDescent="0.3">
      <c r="A911" s="9" t="s">
        <v>945</v>
      </c>
      <c r="B911" s="9" t="s">
        <v>40</v>
      </c>
      <c r="C911" s="2">
        <v>89</v>
      </c>
      <c r="D911" s="12" t="s">
        <v>13</v>
      </c>
      <c r="E911" s="3">
        <v>45241</v>
      </c>
      <c r="F911" s="15">
        <v>23</v>
      </c>
      <c r="G911" s="18">
        <v>4.5</v>
      </c>
      <c r="H911" s="9">
        <f>IF(MONTH(Data!$E911)&lt;=6, YEAR(Data!$E911), YEAR(Data!$E911)+1)</f>
        <v>2024</v>
      </c>
      <c r="I911" s="9" t="str">
        <f>TEXT(Data!$E911,"DDDD")</f>
        <v>Saturday</v>
      </c>
      <c r="J911" s="9" t="s">
        <v>14</v>
      </c>
      <c r="K911" s="23">
        <f>ROUND(Data!$G911,0)</f>
        <v>5</v>
      </c>
    </row>
    <row r="912" spans="1:11" ht="14.25" customHeight="1" x14ac:dyDescent="0.3">
      <c r="A912" s="9" t="s">
        <v>946</v>
      </c>
      <c r="B912" s="9" t="s">
        <v>34</v>
      </c>
      <c r="C912" s="2">
        <v>146</v>
      </c>
      <c r="D912" s="12" t="s">
        <v>13</v>
      </c>
      <c r="E912" s="3">
        <v>45242</v>
      </c>
      <c r="F912" s="15">
        <v>220</v>
      </c>
      <c r="G912" s="18">
        <v>4.5</v>
      </c>
      <c r="H912" s="9">
        <f>IF(MONTH(Data!$E912)&lt;=6, YEAR(Data!$E912), YEAR(Data!$E912)+1)</f>
        <v>2024</v>
      </c>
      <c r="I912" s="9" t="str">
        <f>TEXT(Data!$E912,"DDDD")</f>
        <v>Sunday</v>
      </c>
      <c r="J912" s="9" t="s">
        <v>25</v>
      </c>
      <c r="K912" s="23">
        <f>ROUND(Data!$G912,0)</f>
        <v>5</v>
      </c>
    </row>
    <row r="913" spans="1:11" ht="14.25" customHeight="1" x14ac:dyDescent="0.3">
      <c r="A913" s="9" t="s">
        <v>947</v>
      </c>
      <c r="B913" s="9" t="s">
        <v>38</v>
      </c>
      <c r="C913" s="2">
        <v>62</v>
      </c>
      <c r="D913" s="12" t="s">
        <v>35</v>
      </c>
      <c r="E913" s="3">
        <v>45243</v>
      </c>
      <c r="F913" s="15">
        <v>175</v>
      </c>
      <c r="G913" s="18">
        <v>4.4000000000000004</v>
      </c>
      <c r="H913" s="9">
        <f>IF(MONTH(Data!$E913)&lt;=6, YEAR(Data!$E913), YEAR(Data!$E913)+1)</f>
        <v>2024</v>
      </c>
      <c r="I913" s="9" t="str">
        <f>TEXT(Data!$E913,"DDDD")</f>
        <v>Monday</v>
      </c>
      <c r="J913" s="9" t="s">
        <v>14</v>
      </c>
      <c r="K913" s="23">
        <f>ROUND(Data!$G913,0)</f>
        <v>4</v>
      </c>
    </row>
    <row r="914" spans="1:11" ht="14.25" customHeight="1" x14ac:dyDescent="0.3">
      <c r="A914" s="9" t="s">
        <v>948</v>
      </c>
      <c r="B914" s="9" t="s">
        <v>68</v>
      </c>
      <c r="C914" s="2">
        <v>82</v>
      </c>
      <c r="D914" s="12" t="s">
        <v>13</v>
      </c>
      <c r="E914" s="3">
        <v>45243</v>
      </c>
      <c r="F914" s="15">
        <v>172</v>
      </c>
      <c r="G914" s="18">
        <v>4.0999999999999996</v>
      </c>
      <c r="H914" s="9">
        <f>IF(MONTH(Data!$E914)&lt;=6, YEAR(Data!$E914), YEAR(Data!$E914)+1)</f>
        <v>2024</v>
      </c>
      <c r="I914" s="9" t="str">
        <f>TEXT(Data!$E914,"DDDD")</f>
        <v>Monday</v>
      </c>
      <c r="J914" s="9" t="s">
        <v>14</v>
      </c>
      <c r="K914" s="23">
        <f>ROUND(Data!$G914,0)</f>
        <v>4</v>
      </c>
    </row>
    <row r="915" spans="1:11" ht="14.25" customHeight="1" x14ac:dyDescent="0.3">
      <c r="A915" s="9" t="s">
        <v>949</v>
      </c>
      <c r="B915" s="9" t="s">
        <v>46</v>
      </c>
      <c r="C915" s="2">
        <v>91</v>
      </c>
      <c r="D915" s="12" t="s">
        <v>24</v>
      </c>
      <c r="E915" s="3">
        <v>45243</v>
      </c>
      <c r="F915" s="15">
        <v>108</v>
      </c>
      <c r="G915" s="18">
        <v>3.8</v>
      </c>
      <c r="H915" s="9">
        <f>IF(MONTH(Data!$E915)&lt;=6, YEAR(Data!$E915), YEAR(Data!$E915)+1)</f>
        <v>2024</v>
      </c>
      <c r="I915" s="9" t="str">
        <f>TEXT(Data!$E915,"DDDD")</f>
        <v>Monday</v>
      </c>
      <c r="J915" s="9" t="s">
        <v>14</v>
      </c>
      <c r="K915" s="23">
        <f>ROUND(Data!$G915,0)</f>
        <v>4</v>
      </c>
    </row>
    <row r="916" spans="1:11" ht="14.25" customHeight="1" x14ac:dyDescent="0.3">
      <c r="A916" s="9" t="s">
        <v>950</v>
      </c>
      <c r="B916" s="9" t="s">
        <v>40</v>
      </c>
      <c r="C916" s="2">
        <v>39</v>
      </c>
      <c r="D916" s="12" t="s">
        <v>13</v>
      </c>
      <c r="E916" s="3">
        <v>45244</v>
      </c>
      <c r="F916" s="15">
        <v>43</v>
      </c>
      <c r="G916" s="18">
        <v>4.2</v>
      </c>
      <c r="H916" s="9">
        <f>IF(MONTH(Data!$E916)&lt;=6, YEAR(Data!$E916), YEAR(Data!$E916)+1)</f>
        <v>2024</v>
      </c>
      <c r="I916" s="9" t="str">
        <f>TEXT(Data!$E916,"DDDD")</f>
        <v>Tuesday</v>
      </c>
      <c r="J916" s="9" t="s">
        <v>27</v>
      </c>
      <c r="K916" s="23">
        <f>ROUND(Data!$G916,0)</f>
        <v>4</v>
      </c>
    </row>
    <row r="917" spans="1:11" ht="14.25" customHeight="1" x14ac:dyDescent="0.3">
      <c r="A917" s="9" t="s">
        <v>951</v>
      </c>
      <c r="B917" s="9" t="s">
        <v>34</v>
      </c>
      <c r="C917" s="2">
        <v>149</v>
      </c>
      <c r="D917" s="12" t="s">
        <v>19</v>
      </c>
      <c r="E917" s="3">
        <v>45244</v>
      </c>
      <c r="F917" s="15">
        <v>44</v>
      </c>
      <c r="G917" s="18">
        <v>2.2000000000000002</v>
      </c>
      <c r="H917" s="9">
        <f>IF(MONTH(Data!$E917)&lt;=6, YEAR(Data!$E917), YEAR(Data!$E917)+1)</f>
        <v>2024</v>
      </c>
      <c r="I917" s="9" t="str">
        <f>TEXT(Data!$E917,"DDDD")</f>
        <v>Tuesday</v>
      </c>
      <c r="J917" s="9" t="s">
        <v>25</v>
      </c>
      <c r="K917" s="23">
        <f>ROUND(Data!$G917,0)</f>
        <v>2</v>
      </c>
    </row>
    <row r="918" spans="1:11" ht="14.25" customHeight="1" x14ac:dyDescent="0.3">
      <c r="A918" s="9" t="s">
        <v>952</v>
      </c>
      <c r="B918" s="9" t="s">
        <v>68</v>
      </c>
      <c r="C918" s="2">
        <v>138</v>
      </c>
      <c r="D918" s="12" t="s">
        <v>35</v>
      </c>
      <c r="E918" s="3">
        <v>45244</v>
      </c>
      <c r="F918" s="15">
        <v>105</v>
      </c>
      <c r="G918" s="18">
        <v>3.9</v>
      </c>
      <c r="H918" s="9">
        <f>IF(MONTH(Data!$E918)&lt;=6, YEAR(Data!$E918), YEAR(Data!$E918)+1)</f>
        <v>2024</v>
      </c>
      <c r="I918" s="9" t="str">
        <f>TEXT(Data!$E918,"DDDD")</f>
        <v>Tuesday</v>
      </c>
      <c r="J918" s="9" t="s">
        <v>25</v>
      </c>
      <c r="K918" s="23">
        <f>ROUND(Data!$G918,0)</f>
        <v>4</v>
      </c>
    </row>
    <row r="919" spans="1:11" ht="14.25" customHeight="1" x14ac:dyDescent="0.3">
      <c r="A919" s="9" t="s">
        <v>953</v>
      </c>
      <c r="B919" s="9" t="s">
        <v>38</v>
      </c>
      <c r="C919" s="2">
        <v>113</v>
      </c>
      <c r="D919" s="12" t="s">
        <v>19</v>
      </c>
      <c r="E919" s="3">
        <v>45245</v>
      </c>
      <c r="F919" s="15">
        <v>34</v>
      </c>
      <c r="G919" s="18">
        <v>3.9</v>
      </c>
      <c r="H919" s="9">
        <f>IF(MONTH(Data!$E919)&lt;=6, YEAR(Data!$E919), YEAR(Data!$E919)+1)</f>
        <v>2024</v>
      </c>
      <c r="I919" s="9" t="str">
        <f>TEXT(Data!$E919,"DDDD")</f>
        <v>Wednesday</v>
      </c>
      <c r="J919" s="9" t="s">
        <v>14</v>
      </c>
      <c r="K919" s="23">
        <f>ROUND(Data!$G919,0)</f>
        <v>4</v>
      </c>
    </row>
    <row r="920" spans="1:11" ht="14.25" customHeight="1" x14ac:dyDescent="0.3">
      <c r="A920" s="9" t="s">
        <v>954</v>
      </c>
      <c r="B920" s="9" t="s">
        <v>23</v>
      </c>
      <c r="C920" s="2">
        <v>88</v>
      </c>
      <c r="D920" s="12" t="s">
        <v>13</v>
      </c>
      <c r="E920" s="3">
        <v>45245</v>
      </c>
      <c r="F920" s="15">
        <v>220</v>
      </c>
      <c r="G920" s="18">
        <v>4.0999999999999996</v>
      </c>
      <c r="H920" s="9">
        <f>IF(MONTH(Data!$E920)&lt;=6, YEAR(Data!$E920), YEAR(Data!$E920)+1)</f>
        <v>2024</v>
      </c>
      <c r="I920" s="9" t="str">
        <f>TEXT(Data!$E920,"DDDD")</f>
        <v>Wednesday</v>
      </c>
      <c r="J920" s="9" t="s">
        <v>14</v>
      </c>
      <c r="K920" s="23">
        <f>ROUND(Data!$G920,0)</f>
        <v>4</v>
      </c>
    </row>
    <row r="921" spans="1:11" ht="14.25" customHeight="1" x14ac:dyDescent="0.3">
      <c r="A921" s="9" t="s">
        <v>955</v>
      </c>
      <c r="B921" s="9" t="s">
        <v>12</v>
      </c>
      <c r="C921" s="2">
        <v>64</v>
      </c>
      <c r="D921" s="12" t="s">
        <v>35</v>
      </c>
      <c r="E921" s="3">
        <v>45245</v>
      </c>
      <c r="F921" s="15">
        <v>225</v>
      </c>
      <c r="G921" s="18">
        <v>4.5999999999999996</v>
      </c>
      <c r="H921" s="9">
        <f>IF(MONTH(Data!$E921)&lt;=6, YEAR(Data!$E921), YEAR(Data!$E921)+1)</f>
        <v>2024</v>
      </c>
      <c r="I921" s="9" t="str">
        <f>TEXT(Data!$E921,"DDDD")</f>
        <v>Wednesday</v>
      </c>
      <c r="J921" s="9" t="s">
        <v>14</v>
      </c>
      <c r="K921" s="23">
        <f>ROUND(Data!$G921,0)</f>
        <v>5</v>
      </c>
    </row>
    <row r="922" spans="1:11" ht="14.25" customHeight="1" x14ac:dyDescent="0.3">
      <c r="A922" s="9" t="s">
        <v>956</v>
      </c>
      <c r="B922" s="9" t="s">
        <v>18</v>
      </c>
      <c r="C922" s="2">
        <v>53</v>
      </c>
      <c r="D922" s="12" t="s">
        <v>35</v>
      </c>
      <c r="E922" s="3">
        <v>45246</v>
      </c>
      <c r="F922" s="15">
        <v>37</v>
      </c>
      <c r="G922" s="18">
        <v>4.0999999999999996</v>
      </c>
      <c r="H922" s="9">
        <f>IF(MONTH(Data!$E922)&lt;=6, YEAR(Data!$E922), YEAR(Data!$E922)+1)</f>
        <v>2024</v>
      </c>
      <c r="I922" s="9" t="str">
        <f>TEXT(Data!$E922,"DDDD")</f>
        <v>Thursday</v>
      </c>
      <c r="J922" s="9" t="s">
        <v>27</v>
      </c>
      <c r="K922" s="23">
        <f>ROUND(Data!$G922,0)</f>
        <v>4</v>
      </c>
    </row>
    <row r="923" spans="1:11" ht="14.25" customHeight="1" x14ac:dyDescent="0.3">
      <c r="A923" s="9" t="s">
        <v>957</v>
      </c>
      <c r="B923" s="9" t="s">
        <v>58</v>
      </c>
      <c r="C923" s="2">
        <v>63</v>
      </c>
      <c r="D923" s="12" t="s">
        <v>19</v>
      </c>
      <c r="E923" s="3">
        <v>45246</v>
      </c>
      <c r="F923" s="15">
        <v>44</v>
      </c>
      <c r="G923" s="18">
        <v>5</v>
      </c>
      <c r="H923" s="9">
        <f>IF(MONTH(Data!$E923)&lt;=6, YEAR(Data!$E923), YEAR(Data!$E923)+1)</f>
        <v>2024</v>
      </c>
      <c r="I923" s="9" t="str">
        <f>TEXT(Data!$E923,"DDDD")</f>
        <v>Thursday</v>
      </c>
      <c r="J923" s="9" t="s">
        <v>14</v>
      </c>
      <c r="K923" s="23">
        <f>ROUND(Data!$G923,0)</f>
        <v>5</v>
      </c>
    </row>
    <row r="924" spans="1:11" ht="14.25" customHeight="1" x14ac:dyDescent="0.3">
      <c r="A924" s="9" t="s">
        <v>958</v>
      </c>
      <c r="B924" s="9" t="s">
        <v>29</v>
      </c>
      <c r="C924" s="2">
        <v>54</v>
      </c>
      <c r="D924" s="12" t="s">
        <v>19</v>
      </c>
      <c r="E924" s="3">
        <v>45247</v>
      </c>
      <c r="F924" s="15">
        <v>35</v>
      </c>
      <c r="G924" s="18">
        <v>2.8</v>
      </c>
      <c r="H924" s="9">
        <f>IF(MONTH(Data!$E924)&lt;=6, YEAR(Data!$E924), YEAR(Data!$E924)+1)</f>
        <v>2024</v>
      </c>
      <c r="I924" s="9" t="str">
        <f>TEXT(Data!$E924,"DDDD")</f>
        <v>Friday</v>
      </c>
      <c r="J924" s="9" t="s">
        <v>27</v>
      </c>
      <c r="K924" s="23">
        <f>ROUND(Data!$G924,0)</f>
        <v>3</v>
      </c>
    </row>
    <row r="925" spans="1:11" ht="14.25" customHeight="1" x14ac:dyDescent="0.3">
      <c r="A925" s="9" t="s">
        <v>959</v>
      </c>
      <c r="B925" s="9" t="s">
        <v>58</v>
      </c>
      <c r="C925" s="2">
        <v>54</v>
      </c>
      <c r="D925" s="12" t="s">
        <v>13</v>
      </c>
      <c r="E925" s="3">
        <v>45247</v>
      </c>
      <c r="F925" s="15">
        <v>145</v>
      </c>
      <c r="G925" s="18">
        <v>2.7</v>
      </c>
      <c r="H925" s="9">
        <f>IF(MONTH(Data!$E925)&lt;=6, YEAR(Data!$E925), YEAR(Data!$E925)+1)</f>
        <v>2024</v>
      </c>
      <c r="I925" s="9" t="str">
        <f>TEXT(Data!$E925,"DDDD")</f>
        <v>Friday</v>
      </c>
      <c r="J925" s="9" t="s">
        <v>27</v>
      </c>
      <c r="K925" s="23">
        <f>ROUND(Data!$G925,0)</f>
        <v>3</v>
      </c>
    </row>
    <row r="926" spans="1:11" ht="14.25" customHeight="1" x14ac:dyDescent="0.3">
      <c r="A926" s="9" t="s">
        <v>960</v>
      </c>
      <c r="B926" s="9" t="s">
        <v>34</v>
      </c>
      <c r="C926" s="2">
        <v>71</v>
      </c>
      <c r="D926" s="12" t="s">
        <v>35</v>
      </c>
      <c r="E926" s="3">
        <v>45247</v>
      </c>
      <c r="F926" s="15">
        <v>64</v>
      </c>
      <c r="G926" s="18">
        <v>3.9</v>
      </c>
      <c r="H926" s="9">
        <f>IF(MONTH(Data!$E926)&lt;=6, YEAR(Data!$E926), YEAR(Data!$E926)+1)</f>
        <v>2024</v>
      </c>
      <c r="I926" s="9" t="str">
        <f>TEXT(Data!$E926,"DDDD")</f>
        <v>Friday</v>
      </c>
      <c r="J926" s="9" t="s">
        <v>14</v>
      </c>
      <c r="K926" s="23">
        <f>ROUND(Data!$G926,0)</f>
        <v>4</v>
      </c>
    </row>
    <row r="927" spans="1:11" ht="14.25" customHeight="1" x14ac:dyDescent="0.3">
      <c r="A927" s="9" t="s">
        <v>961</v>
      </c>
      <c r="B927" s="9" t="s">
        <v>58</v>
      </c>
      <c r="C927" s="2">
        <v>93</v>
      </c>
      <c r="D927" s="12" t="s">
        <v>13</v>
      </c>
      <c r="E927" s="3">
        <v>45248</v>
      </c>
      <c r="F927" s="15">
        <v>185</v>
      </c>
      <c r="G927" s="18">
        <v>4.3</v>
      </c>
      <c r="H927" s="9">
        <f>IF(MONTH(Data!$E927)&lt;=6, YEAR(Data!$E927), YEAR(Data!$E927)+1)</f>
        <v>2024</v>
      </c>
      <c r="I927" s="9" t="str">
        <f>TEXT(Data!$E927,"DDDD")</f>
        <v>Saturday</v>
      </c>
      <c r="J927" s="9" t="s">
        <v>14</v>
      </c>
      <c r="K927" s="23">
        <f>ROUND(Data!$G927,0)</f>
        <v>4</v>
      </c>
    </row>
    <row r="928" spans="1:11" ht="14.25" customHeight="1" x14ac:dyDescent="0.3">
      <c r="A928" s="9" t="s">
        <v>962</v>
      </c>
      <c r="B928" s="9" t="s">
        <v>21</v>
      </c>
      <c r="C928" s="2">
        <v>96</v>
      </c>
      <c r="D928" s="12" t="s">
        <v>19</v>
      </c>
      <c r="E928" s="3">
        <v>45248</v>
      </c>
      <c r="F928" s="15">
        <v>215</v>
      </c>
      <c r="G928" s="18">
        <v>2.5</v>
      </c>
      <c r="H928" s="9">
        <f>IF(MONTH(Data!$E928)&lt;=6, YEAR(Data!$E928), YEAR(Data!$E928)+1)</f>
        <v>2024</v>
      </c>
      <c r="I928" s="9" t="str">
        <f>TEXT(Data!$E928,"DDDD")</f>
        <v>Saturday</v>
      </c>
      <c r="J928" s="9" t="s">
        <v>14</v>
      </c>
      <c r="K928" s="23">
        <f>ROUND(Data!$G928,0)</f>
        <v>3</v>
      </c>
    </row>
    <row r="929" spans="1:11" ht="14.25" customHeight="1" x14ac:dyDescent="0.3">
      <c r="A929" s="9" t="s">
        <v>963</v>
      </c>
      <c r="B929" s="9" t="s">
        <v>40</v>
      </c>
      <c r="C929" s="2">
        <v>31</v>
      </c>
      <c r="D929" s="12" t="s">
        <v>24</v>
      </c>
      <c r="E929" s="3">
        <v>45248</v>
      </c>
      <c r="F929" s="15">
        <v>88</v>
      </c>
      <c r="G929" s="18">
        <v>3.4</v>
      </c>
      <c r="H929" s="9">
        <f>IF(MONTH(Data!$E929)&lt;=6, YEAR(Data!$E929), YEAR(Data!$E929)+1)</f>
        <v>2024</v>
      </c>
      <c r="I929" s="9" t="str">
        <f>TEXT(Data!$E929,"DDDD")</f>
        <v>Saturday</v>
      </c>
      <c r="J929" s="9" t="s">
        <v>27</v>
      </c>
      <c r="K929" s="23">
        <f>ROUND(Data!$G929,0)</f>
        <v>3</v>
      </c>
    </row>
    <row r="930" spans="1:11" ht="14.25" customHeight="1" x14ac:dyDescent="0.3">
      <c r="A930" s="9" t="s">
        <v>964</v>
      </c>
      <c r="B930" s="9" t="s">
        <v>58</v>
      </c>
      <c r="C930" s="2">
        <v>107</v>
      </c>
      <c r="D930" s="12" t="s">
        <v>35</v>
      </c>
      <c r="E930" s="3">
        <v>45248</v>
      </c>
      <c r="F930" s="15">
        <v>23</v>
      </c>
      <c r="G930" s="18">
        <v>3.4</v>
      </c>
      <c r="H930" s="9">
        <f>IF(MONTH(Data!$E930)&lt;=6, YEAR(Data!$E930), YEAR(Data!$E930)+1)</f>
        <v>2024</v>
      </c>
      <c r="I930" s="9" t="str">
        <f>TEXT(Data!$E930,"DDDD")</f>
        <v>Saturday</v>
      </c>
      <c r="J930" s="9" t="s">
        <v>14</v>
      </c>
      <c r="K930" s="23">
        <f>ROUND(Data!$G930,0)</f>
        <v>3</v>
      </c>
    </row>
    <row r="931" spans="1:11" ht="14.25" customHeight="1" x14ac:dyDescent="0.3">
      <c r="A931" s="9" t="s">
        <v>965</v>
      </c>
      <c r="B931" s="9" t="s">
        <v>18</v>
      </c>
      <c r="C931" s="2">
        <v>50</v>
      </c>
      <c r="D931" s="12" t="s">
        <v>24</v>
      </c>
      <c r="E931" s="3">
        <v>45249</v>
      </c>
      <c r="F931" s="15">
        <v>180</v>
      </c>
      <c r="G931" s="18">
        <v>1.8</v>
      </c>
      <c r="H931" s="9">
        <f>IF(MONTH(Data!$E931)&lt;=6, YEAR(Data!$E931), YEAR(Data!$E931)+1)</f>
        <v>2024</v>
      </c>
      <c r="I931" s="9" t="str">
        <f>TEXT(Data!$E931,"DDDD")</f>
        <v>Sunday</v>
      </c>
      <c r="J931" s="9" t="s">
        <v>27</v>
      </c>
      <c r="K931" s="23">
        <f>ROUND(Data!$G931,0)</f>
        <v>2</v>
      </c>
    </row>
    <row r="932" spans="1:11" ht="14.25" customHeight="1" x14ac:dyDescent="0.3">
      <c r="A932" s="9" t="s">
        <v>966</v>
      </c>
      <c r="B932" s="9" t="s">
        <v>68</v>
      </c>
      <c r="C932" s="2">
        <v>69</v>
      </c>
      <c r="D932" s="12" t="s">
        <v>35</v>
      </c>
      <c r="E932" s="3">
        <v>45250</v>
      </c>
      <c r="F932" s="15">
        <v>225</v>
      </c>
      <c r="G932" s="18">
        <v>3.7</v>
      </c>
      <c r="H932" s="9">
        <f>IF(MONTH(Data!$E932)&lt;=6, YEAR(Data!$E932), YEAR(Data!$E932)+1)</f>
        <v>2024</v>
      </c>
      <c r="I932" s="9" t="str">
        <f>TEXT(Data!$E932,"DDDD")</f>
        <v>Monday</v>
      </c>
      <c r="J932" s="9" t="s">
        <v>14</v>
      </c>
      <c r="K932" s="23">
        <f>ROUND(Data!$G932,0)</f>
        <v>4</v>
      </c>
    </row>
    <row r="933" spans="1:11" ht="14.25" customHeight="1" x14ac:dyDescent="0.3">
      <c r="A933" s="9" t="s">
        <v>967</v>
      </c>
      <c r="B933" s="9" t="s">
        <v>23</v>
      </c>
      <c r="C933" s="2">
        <v>26</v>
      </c>
      <c r="D933" s="12" t="s">
        <v>19</v>
      </c>
      <c r="E933" s="3">
        <v>45251</v>
      </c>
      <c r="F933" s="15">
        <v>74</v>
      </c>
      <c r="G933" s="18">
        <v>4.0999999999999996</v>
      </c>
      <c r="H933" s="9">
        <f>IF(MONTH(Data!$E933)&lt;=6, YEAR(Data!$E933), YEAR(Data!$E933)+1)</f>
        <v>2024</v>
      </c>
      <c r="I933" s="9" t="str">
        <f>TEXT(Data!$E933,"DDDD")</f>
        <v>Tuesday</v>
      </c>
      <c r="J933" s="9" t="s">
        <v>47</v>
      </c>
      <c r="K933" s="23">
        <f>ROUND(Data!$G933,0)</f>
        <v>4</v>
      </c>
    </row>
    <row r="934" spans="1:11" ht="14.25" customHeight="1" x14ac:dyDescent="0.3">
      <c r="A934" s="9" t="s">
        <v>968</v>
      </c>
      <c r="B934" s="9" t="s">
        <v>21</v>
      </c>
      <c r="C934" s="2">
        <v>158</v>
      </c>
      <c r="D934" s="12" t="s">
        <v>35</v>
      </c>
      <c r="E934" s="3">
        <v>45251</v>
      </c>
      <c r="F934" s="15">
        <v>36</v>
      </c>
      <c r="G934" s="18">
        <v>3</v>
      </c>
      <c r="H934" s="9">
        <f>IF(MONTH(Data!$E934)&lt;=6, YEAR(Data!$E934), YEAR(Data!$E934)+1)</f>
        <v>2024</v>
      </c>
      <c r="I934" s="9" t="str">
        <f>TEXT(Data!$E934,"DDDD")</f>
        <v>Tuesday</v>
      </c>
      <c r="J934" s="9" t="s">
        <v>25</v>
      </c>
      <c r="K934" s="23">
        <f>ROUND(Data!$G934,0)</f>
        <v>3</v>
      </c>
    </row>
    <row r="935" spans="1:11" ht="14.25" customHeight="1" x14ac:dyDescent="0.3">
      <c r="A935" s="9" t="s">
        <v>969</v>
      </c>
      <c r="B935" s="9" t="s">
        <v>29</v>
      </c>
      <c r="C935" s="2">
        <v>99</v>
      </c>
      <c r="D935" s="12" t="s">
        <v>35</v>
      </c>
      <c r="E935" s="3">
        <v>45253</v>
      </c>
      <c r="F935" s="15">
        <v>116</v>
      </c>
      <c r="G935" s="18">
        <v>3.9</v>
      </c>
      <c r="H935" s="9">
        <f>IF(MONTH(Data!$E935)&lt;=6, YEAR(Data!$E935), YEAR(Data!$E935)+1)</f>
        <v>2024</v>
      </c>
      <c r="I935" s="9" t="str">
        <f>TEXT(Data!$E935,"DDDD")</f>
        <v>Thursday</v>
      </c>
      <c r="J935" s="9" t="s">
        <v>14</v>
      </c>
      <c r="K935" s="23">
        <f>ROUND(Data!$G935,0)</f>
        <v>4</v>
      </c>
    </row>
    <row r="936" spans="1:11" ht="14.25" customHeight="1" x14ac:dyDescent="0.3">
      <c r="A936" s="9" t="s">
        <v>970</v>
      </c>
      <c r="B936" s="9" t="s">
        <v>21</v>
      </c>
      <c r="C936" s="2">
        <v>78</v>
      </c>
      <c r="D936" s="12" t="s">
        <v>24</v>
      </c>
      <c r="E936" s="3">
        <v>45253</v>
      </c>
      <c r="F936" s="15">
        <v>140</v>
      </c>
      <c r="G936" s="18">
        <v>4</v>
      </c>
      <c r="H936" s="9">
        <f>IF(MONTH(Data!$E936)&lt;=6, YEAR(Data!$E936), YEAR(Data!$E936)+1)</f>
        <v>2024</v>
      </c>
      <c r="I936" s="9" t="str">
        <f>TEXT(Data!$E936,"DDDD")</f>
        <v>Thursday</v>
      </c>
      <c r="J936" s="9" t="s">
        <v>14</v>
      </c>
      <c r="K936" s="23">
        <f>ROUND(Data!$G936,0)</f>
        <v>4</v>
      </c>
    </row>
    <row r="937" spans="1:11" ht="14.25" customHeight="1" x14ac:dyDescent="0.3">
      <c r="A937" s="9" t="s">
        <v>971</v>
      </c>
      <c r="B937" s="9" t="s">
        <v>21</v>
      </c>
      <c r="C937" s="2">
        <v>102</v>
      </c>
      <c r="D937" s="12" t="s">
        <v>19</v>
      </c>
      <c r="E937" s="3">
        <v>45254</v>
      </c>
      <c r="F937" s="15">
        <v>104</v>
      </c>
      <c r="G937" s="18">
        <v>4.5</v>
      </c>
      <c r="H937" s="9">
        <f>IF(MONTH(Data!$E937)&lt;=6, YEAR(Data!$E937), YEAR(Data!$E937)+1)</f>
        <v>2024</v>
      </c>
      <c r="I937" s="9" t="str">
        <f>TEXT(Data!$E937,"DDDD")</f>
        <v>Friday</v>
      </c>
      <c r="J937" s="9" t="s">
        <v>14</v>
      </c>
      <c r="K937" s="23">
        <f>ROUND(Data!$G937,0)</f>
        <v>5</v>
      </c>
    </row>
    <row r="938" spans="1:11" ht="14.25" customHeight="1" x14ac:dyDescent="0.3">
      <c r="A938" s="9" t="s">
        <v>972</v>
      </c>
      <c r="B938" s="9" t="s">
        <v>29</v>
      </c>
      <c r="C938" s="2">
        <v>158</v>
      </c>
      <c r="D938" s="12" t="s">
        <v>31</v>
      </c>
      <c r="E938" s="3">
        <v>45254</v>
      </c>
      <c r="F938" s="15">
        <v>148</v>
      </c>
      <c r="G938" s="18">
        <v>4</v>
      </c>
      <c r="H938" s="9">
        <f>IF(MONTH(Data!$E938)&lt;=6, YEAR(Data!$E938), YEAR(Data!$E938)+1)</f>
        <v>2024</v>
      </c>
      <c r="I938" s="9" t="str">
        <f>TEXT(Data!$E938,"DDDD")</f>
        <v>Friday</v>
      </c>
      <c r="J938" s="9" t="s">
        <v>25</v>
      </c>
      <c r="K938" s="23">
        <f>ROUND(Data!$G938,0)</f>
        <v>4</v>
      </c>
    </row>
    <row r="939" spans="1:11" ht="14.25" customHeight="1" x14ac:dyDescent="0.3">
      <c r="A939" s="9" t="s">
        <v>973</v>
      </c>
      <c r="B939" s="9" t="s">
        <v>40</v>
      </c>
      <c r="C939" s="2">
        <v>56</v>
      </c>
      <c r="D939" s="12" t="s">
        <v>35</v>
      </c>
      <c r="E939" s="3">
        <v>45254</v>
      </c>
      <c r="F939" s="15">
        <v>205</v>
      </c>
      <c r="G939" s="18">
        <v>4.3</v>
      </c>
      <c r="H939" s="9">
        <f>IF(MONTH(Data!$E939)&lt;=6, YEAR(Data!$E939), YEAR(Data!$E939)+1)</f>
        <v>2024</v>
      </c>
      <c r="I939" s="9" t="str">
        <f>TEXT(Data!$E939,"DDDD")</f>
        <v>Friday</v>
      </c>
      <c r="J939" s="9" t="s">
        <v>27</v>
      </c>
      <c r="K939" s="23">
        <f>ROUND(Data!$G939,0)</f>
        <v>4</v>
      </c>
    </row>
    <row r="940" spans="1:11" ht="14.25" customHeight="1" x14ac:dyDescent="0.3">
      <c r="A940" s="9" t="s">
        <v>974</v>
      </c>
      <c r="B940" s="9" t="s">
        <v>16</v>
      </c>
      <c r="C940" s="2">
        <v>17</v>
      </c>
      <c r="D940" s="12" t="s">
        <v>13</v>
      </c>
      <c r="E940" s="3">
        <v>45254</v>
      </c>
      <c r="F940" s="15">
        <v>210</v>
      </c>
      <c r="G940" s="18">
        <v>4.8</v>
      </c>
      <c r="H940" s="9">
        <f>IF(MONTH(Data!$E940)&lt;=6, YEAR(Data!$E940), YEAR(Data!$E940)+1)</f>
        <v>2024</v>
      </c>
      <c r="I940" s="9" t="str">
        <f>TEXT(Data!$E940,"DDDD")</f>
        <v>Friday</v>
      </c>
      <c r="J940" s="9" t="s">
        <v>47</v>
      </c>
      <c r="K940" s="23">
        <f>ROUND(Data!$G940,0)</f>
        <v>5</v>
      </c>
    </row>
    <row r="941" spans="1:11" ht="14.25" customHeight="1" x14ac:dyDescent="0.3">
      <c r="A941" s="9" t="s">
        <v>975</v>
      </c>
      <c r="B941" s="9" t="s">
        <v>23</v>
      </c>
      <c r="C941" s="2">
        <v>104</v>
      </c>
      <c r="D941" s="12" t="s">
        <v>31</v>
      </c>
      <c r="E941" s="3">
        <v>45256</v>
      </c>
      <c r="F941" s="15">
        <v>41</v>
      </c>
      <c r="G941" s="18">
        <v>4.7</v>
      </c>
      <c r="H941" s="9">
        <f>IF(MONTH(Data!$E941)&lt;=6, YEAR(Data!$E941), YEAR(Data!$E941)+1)</f>
        <v>2024</v>
      </c>
      <c r="I941" s="9" t="str">
        <f>TEXT(Data!$E941,"DDDD")</f>
        <v>Sunday</v>
      </c>
      <c r="J941" s="9" t="s">
        <v>14</v>
      </c>
      <c r="K941" s="23">
        <f>ROUND(Data!$G941,0)</f>
        <v>5</v>
      </c>
    </row>
    <row r="942" spans="1:11" ht="14.25" customHeight="1" x14ac:dyDescent="0.3">
      <c r="A942" s="9" t="s">
        <v>976</v>
      </c>
      <c r="B942" s="9" t="s">
        <v>55</v>
      </c>
      <c r="C942" s="2">
        <v>96</v>
      </c>
      <c r="D942" s="12" t="s">
        <v>24</v>
      </c>
      <c r="E942" s="3">
        <v>45256</v>
      </c>
      <c r="F942" s="15">
        <v>136</v>
      </c>
      <c r="G942" s="18">
        <v>5</v>
      </c>
      <c r="H942" s="9">
        <f>IF(MONTH(Data!$E942)&lt;=6, YEAR(Data!$E942), YEAR(Data!$E942)+1)</f>
        <v>2024</v>
      </c>
      <c r="I942" s="9" t="str">
        <f>TEXT(Data!$E942,"DDDD")</f>
        <v>Sunday</v>
      </c>
      <c r="J942" s="9" t="s">
        <v>14</v>
      </c>
      <c r="K942" s="23">
        <f>ROUND(Data!$G942,0)</f>
        <v>5</v>
      </c>
    </row>
    <row r="943" spans="1:11" ht="14.25" customHeight="1" x14ac:dyDescent="0.3">
      <c r="A943" s="9" t="s">
        <v>977</v>
      </c>
      <c r="B943" s="9" t="s">
        <v>46</v>
      </c>
      <c r="C943" s="2">
        <v>83</v>
      </c>
      <c r="D943" s="12" t="s">
        <v>19</v>
      </c>
      <c r="E943" s="3">
        <v>45257</v>
      </c>
      <c r="F943" s="15">
        <v>126</v>
      </c>
      <c r="G943" s="18">
        <v>1.5</v>
      </c>
      <c r="H943" s="9">
        <f>IF(MONTH(Data!$E943)&lt;=6, YEAR(Data!$E943), YEAR(Data!$E943)+1)</f>
        <v>2024</v>
      </c>
      <c r="I943" s="9" t="str">
        <f>TEXT(Data!$E943,"DDDD")</f>
        <v>Monday</v>
      </c>
      <c r="J943" s="9" t="s">
        <v>14</v>
      </c>
      <c r="K943" s="23">
        <f>ROUND(Data!$G943,0)</f>
        <v>2</v>
      </c>
    </row>
    <row r="944" spans="1:11" ht="14.25" customHeight="1" x14ac:dyDescent="0.3">
      <c r="A944" s="9" t="s">
        <v>978</v>
      </c>
      <c r="B944" s="9" t="s">
        <v>18</v>
      </c>
      <c r="C944" s="2">
        <v>80</v>
      </c>
      <c r="D944" s="12" t="s">
        <v>13</v>
      </c>
      <c r="E944" s="3">
        <v>45258</v>
      </c>
      <c r="F944" s="15">
        <v>148</v>
      </c>
      <c r="G944" s="18">
        <v>4.0999999999999996</v>
      </c>
      <c r="H944" s="9">
        <f>IF(MONTH(Data!$E944)&lt;=6, YEAR(Data!$E944), YEAR(Data!$E944)+1)</f>
        <v>2024</v>
      </c>
      <c r="I944" s="9" t="str">
        <f>TEXT(Data!$E944,"DDDD")</f>
        <v>Tuesday</v>
      </c>
      <c r="J944" s="9" t="s">
        <v>14</v>
      </c>
      <c r="K944" s="23">
        <f>ROUND(Data!$G944,0)</f>
        <v>4</v>
      </c>
    </row>
    <row r="945" spans="1:11" ht="14.25" customHeight="1" x14ac:dyDescent="0.3">
      <c r="A945" s="9" t="s">
        <v>979</v>
      </c>
      <c r="B945" s="9" t="s">
        <v>46</v>
      </c>
      <c r="C945" s="2">
        <v>152</v>
      </c>
      <c r="D945" s="12" t="s">
        <v>19</v>
      </c>
      <c r="E945" s="3">
        <v>45258</v>
      </c>
      <c r="F945" s="15">
        <v>125</v>
      </c>
      <c r="G945" s="18">
        <v>3.9</v>
      </c>
      <c r="H945" s="9">
        <f>IF(MONTH(Data!$E945)&lt;=6, YEAR(Data!$E945), YEAR(Data!$E945)+1)</f>
        <v>2024</v>
      </c>
      <c r="I945" s="9" t="str">
        <f>TEXT(Data!$E945,"DDDD")</f>
        <v>Tuesday</v>
      </c>
      <c r="J945" s="9" t="s">
        <v>25</v>
      </c>
      <c r="K945" s="23">
        <f>ROUND(Data!$G945,0)</f>
        <v>4</v>
      </c>
    </row>
    <row r="946" spans="1:11" ht="14.25" customHeight="1" x14ac:dyDescent="0.3">
      <c r="A946" s="9" t="s">
        <v>980</v>
      </c>
      <c r="B946" s="9" t="s">
        <v>34</v>
      </c>
      <c r="C946" s="2">
        <v>34</v>
      </c>
      <c r="D946" s="12" t="s">
        <v>24</v>
      </c>
      <c r="E946" s="3">
        <v>45258</v>
      </c>
      <c r="F946" s="15">
        <v>25</v>
      </c>
      <c r="G946" s="18">
        <v>4.0999999999999996</v>
      </c>
      <c r="H946" s="9">
        <f>IF(MONTH(Data!$E946)&lt;=6, YEAR(Data!$E946), YEAR(Data!$E946)+1)</f>
        <v>2024</v>
      </c>
      <c r="I946" s="9" t="str">
        <f>TEXT(Data!$E946,"DDDD")</f>
        <v>Tuesday</v>
      </c>
      <c r="J946" s="9" t="s">
        <v>27</v>
      </c>
      <c r="K946" s="23">
        <f>ROUND(Data!$G946,0)</f>
        <v>4</v>
      </c>
    </row>
    <row r="947" spans="1:11" ht="14.25" customHeight="1" x14ac:dyDescent="0.3">
      <c r="A947" s="9" t="s">
        <v>981</v>
      </c>
      <c r="B947" s="9" t="s">
        <v>38</v>
      </c>
      <c r="C947" s="2">
        <v>2</v>
      </c>
      <c r="D947" s="12" t="s">
        <v>35</v>
      </c>
      <c r="E947" s="3">
        <v>45259</v>
      </c>
      <c r="F947" s="15">
        <v>62</v>
      </c>
      <c r="G947" s="18">
        <v>2.8</v>
      </c>
      <c r="H947" s="9">
        <f>IF(MONTH(Data!$E947)&lt;=6, YEAR(Data!$E947), YEAR(Data!$E947)+1)</f>
        <v>2024</v>
      </c>
      <c r="I947" s="9" t="str">
        <f>TEXT(Data!$E947,"DDDD")</f>
        <v>Wednesday</v>
      </c>
      <c r="J947" s="9" t="s">
        <v>176</v>
      </c>
      <c r="K947" s="23">
        <f>ROUND(Data!$G947,0)</f>
        <v>3</v>
      </c>
    </row>
    <row r="948" spans="1:11" ht="14.25" customHeight="1" x14ac:dyDescent="0.3">
      <c r="A948" s="9" t="s">
        <v>982</v>
      </c>
      <c r="B948" s="9" t="s">
        <v>18</v>
      </c>
      <c r="C948" s="2">
        <v>140</v>
      </c>
      <c r="D948" s="12" t="s">
        <v>24</v>
      </c>
      <c r="E948" s="3">
        <v>45260</v>
      </c>
      <c r="F948" s="15">
        <v>90</v>
      </c>
      <c r="G948" s="18">
        <v>4.5999999999999996</v>
      </c>
      <c r="H948" s="9">
        <f>IF(MONTH(Data!$E948)&lt;=6, YEAR(Data!$E948), YEAR(Data!$E948)+1)</f>
        <v>2024</v>
      </c>
      <c r="I948" s="9" t="str">
        <f>TEXT(Data!$E948,"DDDD")</f>
        <v>Thursday</v>
      </c>
      <c r="J948" s="9" t="s">
        <v>25</v>
      </c>
      <c r="K948" s="23">
        <f>ROUND(Data!$G948,0)</f>
        <v>5</v>
      </c>
    </row>
    <row r="949" spans="1:11" ht="14.25" customHeight="1" x14ac:dyDescent="0.3">
      <c r="A949" s="9" t="s">
        <v>983</v>
      </c>
      <c r="B949" s="9" t="s">
        <v>16</v>
      </c>
      <c r="C949" s="2">
        <v>126</v>
      </c>
      <c r="D949" s="12" t="s">
        <v>31</v>
      </c>
      <c r="E949" s="3">
        <v>45261</v>
      </c>
      <c r="F949" s="15">
        <v>33</v>
      </c>
      <c r="G949" s="18">
        <v>4.8</v>
      </c>
      <c r="H949" s="9">
        <f>IF(MONTH(Data!$E949)&lt;=6, YEAR(Data!$E949), YEAR(Data!$E949)+1)</f>
        <v>2024</v>
      </c>
      <c r="I949" s="9" t="str">
        <f>TEXT(Data!$E949,"DDDD")</f>
        <v>Friday</v>
      </c>
      <c r="J949" s="9" t="s">
        <v>25</v>
      </c>
      <c r="K949" s="23">
        <f>ROUND(Data!$G949,0)</f>
        <v>5</v>
      </c>
    </row>
    <row r="950" spans="1:11" ht="14.25" customHeight="1" x14ac:dyDescent="0.3">
      <c r="A950" s="9" t="s">
        <v>984</v>
      </c>
      <c r="B950" s="9" t="s">
        <v>21</v>
      </c>
      <c r="C950" s="2">
        <v>79</v>
      </c>
      <c r="D950" s="12" t="s">
        <v>35</v>
      </c>
      <c r="E950" s="3">
        <v>45261</v>
      </c>
      <c r="F950" s="15">
        <v>115</v>
      </c>
      <c r="G950" s="18">
        <v>2.2999999999999998</v>
      </c>
      <c r="H950" s="9">
        <f>IF(MONTH(Data!$E950)&lt;=6, YEAR(Data!$E950), YEAR(Data!$E950)+1)</f>
        <v>2024</v>
      </c>
      <c r="I950" s="9" t="str">
        <f>TEXT(Data!$E950,"DDDD")</f>
        <v>Friday</v>
      </c>
      <c r="J950" s="9" t="s">
        <v>14</v>
      </c>
      <c r="K950" s="23">
        <f>ROUND(Data!$G950,0)</f>
        <v>2</v>
      </c>
    </row>
    <row r="951" spans="1:11" ht="14.25" customHeight="1" x14ac:dyDescent="0.3">
      <c r="A951" s="9" t="s">
        <v>985</v>
      </c>
      <c r="B951" s="9" t="s">
        <v>16</v>
      </c>
      <c r="C951" s="2">
        <v>133</v>
      </c>
      <c r="D951" s="12" t="s">
        <v>31</v>
      </c>
      <c r="E951" s="3">
        <v>45261</v>
      </c>
      <c r="F951" s="15">
        <v>45</v>
      </c>
      <c r="G951" s="18">
        <v>2.6</v>
      </c>
      <c r="H951" s="9">
        <f>IF(MONTH(Data!$E951)&lt;=6, YEAR(Data!$E951), YEAR(Data!$E951)+1)</f>
        <v>2024</v>
      </c>
      <c r="I951" s="9" t="str">
        <f>TEXT(Data!$E951,"DDDD")</f>
        <v>Friday</v>
      </c>
      <c r="J951" s="9" t="s">
        <v>25</v>
      </c>
      <c r="K951" s="23">
        <f>ROUND(Data!$G951,0)</f>
        <v>3</v>
      </c>
    </row>
    <row r="952" spans="1:11" ht="14.25" customHeight="1" x14ac:dyDescent="0.3">
      <c r="A952" s="9" t="s">
        <v>986</v>
      </c>
      <c r="B952" s="9" t="s">
        <v>34</v>
      </c>
      <c r="C952" s="2">
        <v>97</v>
      </c>
      <c r="D952" s="12" t="s">
        <v>13</v>
      </c>
      <c r="E952" s="3">
        <v>45261</v>
      </c>
      <c r="F952" s="15">
        <v>114</v>
      </c>
      <c r="G952" s="18">
        <v>4.8</v>
      </c>
      <c r="H952" s="9">
        <f>IF(MONTH(Data!$E952)&lt;=6, YEAR(Data!$E952), YEAR(Data!$E952)+1)</f>
        <v>2024</v>
      </c>
      <c r="I952" s="9" t="str">
        <f>TEXT(Data!$E952,"DDDD")</f>
        <v>Friday</v>
      </c>
      <c r="J952" s="9" t="s">
        <v>14</v>
      </c>
      <c r="K952" s="23">
        <f>ROUND(Data!$G952,0)</f>
        <v>5</v>
      </c>
    </row>
    <row r="953" spans="1:11" ht="14.25" customHeight="1" x14ac:dyDescent="0.3">
      <c r="A953" s="9" t="s">
        <v>987</v>
      </c>
      <c r="B953" s="9" t="s">
        <v>21</v>
      </c>
      <c r="C953" s="2">
        <v>102</v>
      </c>
      <c r="D953" s="12" t="s">
        <v>19</v>
      </c>
      <c r="E953" s="3">
        <v>45262</v>
      </c>
      <c r="F953" s="15">
        <v>72</v>
      </c>
      <c r="G953" s="18">
        <v>3.7</v>
      </c>
      <c r="H953" s="9">
        <f>IF(MONTH(Data!$E953)&lt;=6, YEAR(Data!$E953), YEAR(Data!$E953)+1)</f>
        <v>2024</v>
      </c>
      <c r="I953" s="9" t="str">
        <f>TEXT(Data!$E953,"DDDD")</f>
        <v>Saturday</v>
      </c>
      <c r="J953" s="9" t="s">
        <v>14</v>
      </c>
      <c r="K953" s="23">
        <f>ROUND(Data!$G953,0)</f>
        <v>4</v>
      </c>
    </row>
    <row r="954" spans="1:11" ht="14.25" customHeight="1" x14ac:dyDescent="0.3">
      <c r="A954" s="9" t="s">
        <v>988</v>
      </c>
      <c r="B954" s="9" t="s">
        <v>50</v>
      </c>
      <c r="C954" s="2">
        <v>62</v>
      </c>
      <c r="D954" s="12" t="s">
        <v>13</v>
      </c>
      <c r="E954" s="3">
        <v>45262</v>
      </c>
      <c r="F954" s="15">
        <v>205</v>
      </c>
      <c r="G954" s="18">
        <v>4.2</v>
      </c>
      <c r="H954" s="9">
        <f>IF(MONTH(Data!$E954)&lt;=6, YEAR(Data!$E954), YEAR(Data!$E954)+1)</f>
        <v>2024</v>
      </c>
      <c r="I954" s="9" t="str">
        <f>TEXT(Data!$E954,"DDDD")</f>
        <v>Saturday</v>
      </c>
      <c r="J954" s="9" t="s">
        <v>14</v>
      </c>
      <c r="K954" s="23">
        <f>ROUND(Data!$G954,0)</f>
        <v>4</v>
      </c>
    </row>
    <row r="955" spans="1:11" ht="14.25" customHeight="1" x14ac:dyDescent="0.3">
      <c r="A955" s="9" t="s">
        <v>989</v>
      </c>
      <c r="B955" s="9" t="s">
        <v>16</v>
      </c>
      <c r="C955" s="2">
        <v>149</v>
      </c>
      <c r="D955" s="12" t="s">
        <v>19</v>
      </c>
      <c r="E955" s="3">
        <v>45263</v>
      </c>
      <c r="F955" s="15">
        <v>42</v>
      </c>
      <c r="G955" s="18">
        <v>3.3</v>
      </c>
      <c r="H955" s="9">
        <f>IF(MONTH(Data!$E955)&lt;=6, YEAR(Data!$E955), YEAR(Data!$E955)+1)</f>
        <v>2024</v>
      </c>
      <c r="I955" s="9" t="str">
        <f>TEXT(Data!$E955,"DDDD")</f>
        <v>Sunday</v>
      </c>
      <c r="J955" s="9" t="s">
        <v>25</v>
      </c>
      <c r="K955" s="23">
        <f>ROUND(Data!$G955,0)</f>
        <v>3</v>
      </c>
    </row>
    <row r="956" spans="1:11" ht="14.25" customHeight="1" x14ac:dyDescent="0.3">
      <c r="A956" s="9" t="s">
        <v>990</v>
      </c>
      <c r="B956" s="9" t="s">
        <v>38</v>
      </c>
      <c r="C956" s="2">
        <v>133</v>
      </c>
      <c r="D956" s="12" t="s">
        <v>13</v>
      </c>
      <c r="E956" s="3">
        <v>45263</v>
      </c>
      <c r="F956" s="15">
        <v>96</v>
      </c>
      <c r="G956" s="18">
        <v>4.3</v>
      </c>
      <c r="H956" s="9">
        <f>IF(MONTH(Data!$E956)&lt;=6, YEAR(Data!$E956), YEAR(Data!$E956)+1)</f>
        <v>2024</v>
      </c>
      <c r="I956" s="9" t="str">
        <f>TEXT(Data!$E956,"DDDD")</f>
        <v>Sunday</v>
      </c>
      <c r="J956" s="9" t="s">
        <v>25</v>
      </c>
      <c r="K956" s="23">
        <f>ROUND(Data!$G956,0)</f>
        <v>4</v>
      </c>
    </row>
    <row r="957" spans="1:11" ht="14.25" customHeight="1" x14ac:dyDescent="0.3">
      <c r="A957" s="9" t="s">
        <v>991</v>
      </c>
      <c r="B957" s="9" t="s">
        <v>21</v>
      </c>
      <c r="C957" s="2">
        <v>51</v>
      </c>
      <c r="D957" s="12" t="s">
        <v>35</v>
      </c>
      <c r="E957" s="3">
        <v>45263</v>
      </c>
      <c r="F957" s="15">
        <v>64</v>
      </c>
      <c r="G957" s="18">
        <v>3.7</v>
      </c>
      <c r="H957" s="9">
        <f>IF(MONTH(Data!$E957)&lt;=6, YEAR(Data!$E957), YEAR(Data!$E957)+1)</f>
        <v>2024</v>
      </c>
      <c r="I957" s="9" t="str">
        <f>TEXT(Data!$E957,"DDDD")</f>
        <v>Sunday</v>
      </c>
      <c r="J957" s="9" t="s">
        <v>27</v>
      </c>
      <c r="K957" s="23">
        <f>ROUND(Data!$G957,0)</f>
        <v>4</v>
      </c>
    </row>
    <row r="958" spans="1:11" ht="14.25" customHeight="1" x14ac:dyDescent="0.3">
      <c r="A958" s="9" t="s">
        <v>992</v>
      </c>
      <c r="B958" s="9" t="s">
        <v>50</v>
      </c>
      <c r="C958" s="2">
        <v>110</v>
      </c>
      <c r="D958" s="12" t="s">
        <v>13</v>
      </c>
      <c r="E958" s="3">
        <v>45264</v>
      </c>
      <c r="F958" s="15">
        <v>72</v>
      </c>
      <c r="G958" s="18">
        <v>3.7</v>
      </c>
      <c r="H958" s="9">
        <f>IF(MONTH(Data!$E958)&lt;=6, YEAR(Data!$E958), YEAR(Data!$E958)+1)</f>
        <v>2024</v>
      </c>
      <c r="I958" s="9" t="str">
        <f>TEXT(Data!$E958,"DDDD")</f>
        <v>Monday</v>
      </c>
      <c r="J958" s="9" t="s">
        <v>14</v>
      </c>
      <c r="K958" s="23">
        <f>ROUND(Data!$G958,0)</f>
        <v>4</v>
      </c>
    </row>
    <row r="959" spans="1:11" ht="14.25" customHeight="1" x14ac:dyDescent="0.3">
      <c r="A959" s="9" t="s">
        <v>993</v>
      </c>
      <c r="B959" s="9" t="s">
        <v>34</v>
      </c>
      <c r="C959" s="2">
        <v>38</v>
      </c>
      <c r="D959" s="12" t="s">
        <v>31</v>
      </c>
      <c r="E959" s="3">
        <v>45265</v>
      </c>
      <c r="F959" s="15">
        <v>27</v>
      </c>
      <c r="G959" s="18">
        <v>3.1</v>
      </c>
      <c r="H959" s="9">
        <f>IF(MONTH(Data!$E959)&lt;=6, YEAR(Data!$E959), YEAR(Data!$E959)+1)</f>
        <v>2024</v>
      </c>
      <c r="I959" s="9" t="str">
        <f>TEXT(Data!$E959,"DDDD")</f>
        <v>Tuesday</v>
      </c>
      <c r="J959" s="9" t="s">
        <v>27</v>
      </c>
      <c r="K959" s="23">
        <f>ROUND(Data!$G959,0)</f>
        <v>3</v>
      </c>
    </row>
    <row r="960" spans="1:11" ht="14.25" customHeight="1" x14ac:dyDescent="0.3">
      <c r="A960" s="9" t="s">
        <v>994</v>
      </c>
      <c r="B960" s="9" t="s">
        <v>38</v>
      </c>
      <c r="C960" s="2">
        <v>78</v>
      </c>
      <c r="D960" s="12" t="s">
        <v>31</v>
      </c>
      <c r="E960" s="3">
        <v>45267</v>
      </c>
      <c r="F960" s="15">
        <v>200</v>
      </c>
      <c r="G960" s="18">
        <v>2.4</v>
      </c>
      <c r="H960" s="9">
        <f>IF(MONTH(Data!$E960)&lt;=6, YEAR(Data!$E960), YEAR(Data!$E960)+1)</f>
        <v>2024</v>
      </c>
      <c r="I960" s="9" t="str">
        <f>TEXT(Data!$E960,"DDDD")</f>
        <v>Thursday</v>
      </c>
      <c r="J960" s="9" t="s">
        <v>14</v>
      </c>
      <c r="K960" s="23">
        <f>ROUND(Data!$G960,0)</f>
        <v>2</v>
      </c>
    </row>
    <row r="961" spans="1:11" ht="14.25" customHeight="1" x14ac:dyDescent="0.3">
      <c r="A961" s="9" t="s">
        <v>995</v>
      </c>
      <c r="B961" s="9" t="s">
        <v>34</v>
      </c>
      <c r="C961" s="2">
        <v>25</v>
      </c>
      <c r="D961" s="12" t="s">
        <v>19</v>
      </c>
      <c r="E961" s="3">
        <v>45268</v>
      </c>
      <c r="F961" s="15">
        <v>93</v>
      </c>
      <c r="G961" s="18">
        <v>3.5</v>
      </c>
      <c r="H961" s="9">
        <f>IF(MONTH(Data!$E961)&lt;=6, YEAR(Data!$E961), YEAR(Data!$E961)+1)</f>
        <v>2024</v>
      </c>
      <c r="I961" s="9" t="str">
        <f>TEXT(Data!$E961,"DDDD")</f>
        <v>Friday</v>
      </c>
      <c r="J961" s="9" t="s">
        <v>47</v>
      </c>
      <c r="K961" s="23">
        <f>ROUND(Data!$G961,0)</f>
        <v>4</v>
      </c>
    </row>
    <row r="962" spans="1:11" ht="14.25" customHeight="1" x14ac:dyDescent="0.3">
      <c r="A962" s="9" t="s">
        <v>996</v>
      </c>
      <c r="B962" s="9" t="s">
        <v>58</v>
      </c>
      <c r="C962" s="2">
        <v>50</v>
      </c>
      <c r="D962" s="12" t="s">
        <v>35</v>
      </c>
      <c r="E962" s="3">
        <v>45268</v>
      </c>
      <c r="F962" s="15">
        <v>54</v>
      </c>
      <c r="G962" s="18">
        <v>4.3</v>
      </c>
      <c r="H962" s="9">
        <f>IF(MONTH(Data!$E962)&lt;=6, YEAR(Data!$E962), YEAR(Data!$E962)+1)</f>
        <v>2024</v>
      </c>
      <c r="I962" s="9" t="str">
        <f>TEXT(Data!$E962,"DDDD")</f>
        <v>Friday</v>
      </c>
      <c r="J962" s="9" t="s">
        <v>27</v>
      </c>
      <c r="K962" s="23">
        <f>ROUND(Data!$G962,0)</f>
        <v>4</v>
      </c>
    </row>
    <row r="963" spans="1:11" ht="14.25" customHeight="1" x14ac:dyDescent="0.3">
      <c r="A963" s="9" t="s">
        <v>997</v>
      </c>
      <c r="B963" s="9" t="s">
        <v>34</v>
      </c>
      <c r="C963" s="2">
        <v>103</v>
      </c>
      <c r="D963" s="12" t="s">
        <v>19</v>
      </c>
      <c r="E963" s="3">
        <v>45269</v>
      </c>
      <c r="F963" s="15">
        <v>72</v>
      </c>
      <c r="G963" s="18">
        <v>3.4</v>
      </c>
      <c r="H963" s="9">
        <f>IF(MONTH(Data!$E963)&lt;=6, YEAR(Data!$E963), YEAR(Data!$E963)+1)</f>
        <v>2024</v>
      </c>
      <c r="I963" s="9" t="str">
        <f>TEXT(Data!$E963,"DDDD")</f>
        <v>Saturday</v>
      </c>
      <c r="J963" s="9" t="s">
        <v>14</v>
      </c>
      <c r="K963" s="23">
        <f>ROUND(Data!$G963,0)</f>
        <v>3</v>
      </c>
    </row>
    <row r="964" spans="1:11" ht="14.25" customHeight="1" x14ac:dyDescent="0.3">
      <c r="A964" s="9" t="s">
        <v>998</v>
      </c>
      <c r="B964" s="9" t="s">
        <v>46</v>
      </c>
      <c r="C964" s="2">
        <v>63</v>
      </c>
      <c r="D964" s="12" t="s">
        <v>24</v>
      </c>
      <c r="E964" s="3">
        <v>45269</v>
      </c>
      <c r="F964" s="15">
        <v>82</v>
      </c>
      <c r="G964" s="18">
        <v>3.7</v>
      </c>
      <c r="H964" s="9">
        <f>IF(MONTH(Data!$E964)&lt;=6, YEAR(Data!$E964), YEAR(Data!$E964)+1)</f>
        <v>2024</v>
      </c>
      <c r="I964" s="9" t="str">
        <f>TEXT(Data!$E964,"DDDD")</f>
        <v>Saturday</v>
      </c>
      <c r="J964" s="9" t="s">
        <v>14</v>
      </c>
      <c r="K964" s="23">
        <f>ROUND(Data!$G964,0)</f>
        <v>4</v>
      </c>
    </row>
    <row r="965" spans="1:11" ht="14.25" customHeight="1" x14ac:dyDescent="0.3">
      <c r="A965" s="9" t="s">
        <v>999</v>
      </c>
      <c r="B965" s="9" t="s">
        <v>58</v>
      </c>
      <c r="C965" s="2">
        <v>96</v>
      </c>
      <c r="D965" s="12" t="s">
        <v>35</v>
      </c>
      <c r="E965" s="3">
        <v>45273</v>
      </c>
      <c r="F965" s="15">
        <v>164</v>
      </c>
      <c r="G965" s="18">
        <v>4.8</v>
      </c>
      <c r="H965" s="9">
        <f>IF(MONTH(Data!$E965)&lt;=6, YEAR(Data!$E965), YEAR(Data!$E965)+1)</f>
        <v>2024</v>
      </c>
      <c r="I965" s="9" t="str">
        <f>TEXT(Data!$E965,"DDDD")</f>
        <v>Wednesday</v>
      </c>
      <c r="J965" s="9" t="s">
        <v>14</v>
      </c>
      <c r="K965" s="23">
        <f>ROUND(Data!$G965,0)</f>
        <v>5</v>
      </c>
    </row>
    <row r="966" spans="1:11" ht="14.25" customHeight="1" x14ac:dyDescent="0.3">
      <c r="A966" s="9" t="s">
        <v>1000</v>
      </c>
      <c r="B966" s="9" t="s">
        <v>18</v>
      </c>
      <c r="C966" s="2">
        <v>94</v>
      </c>
      <c r="D966" s="12" t="s">
        <v>19</v>
      </c>
      <c r="E966" s="3">
        <v>45273</v>
      </c>
      <c r="F966" s="15">
        <v>78</v>
      </c>
      <c r="G966" s="18">
        <v>3.3</v>
      </c>
      <c r="H966" s="9">
        <f>IF(MONTH(Data!$E966)&lt;=6, YEAR(Data!$E966), YEAR(Data!$E966)+1)</f>
        <v>2024</v>
      </c>
      <c r="I966" s="9" t="str">
        <f>TEXT(Data!$E966,"DDDD")</f>
        <v>Wednesday</v>
      </c>
      <c r="J966" s="9" t="s">
        <v>14</v>
      </c>
      <c r="K966" s="23">
        <f>ROUND(Data!$G966,0)</f>
        <v>3</v>
      </c>
    </row>
    <row r="967" spans="1:11" ht="14.25" customHeight="1" x14ac:dyDescent="0.3">
      <c r="A967" s="9" t="s">
        <v>1001</v>
      </c>
      <c r="B967" s="9" t="s">
        <v>50</v>
      </c>
      <c r="C967" s="2">
        <v>46</v>
      </c>
      <c r="D967" s="12" t="s">
        <v>31</v>
      </c>
      <c r="E967" s="3">
        <v>45274</v>
      </c>
      <c r="F967" s="15">
        <v>135</v>
      </c>
      <c r="G967" s="18">
        <v>4.2</v>
      </c>
      <c r="H967" s="9">
        <f>IF(MONTH(Data!$E967)&lt;=6, YEAR(Data!$E967), YEAR(Data!$E967)+1)</f>
        <v>2024</v>
      </c>
      <c r="I967" s="9" t="str">
        <f>TEXT(Data!$E967,"DDDD")</f>
        <v>Thursday</v>
      </c>
      <c r="J967" s="9" t="s">
        <v>27</v>
      </c>
      <c r="K967" s="23">
        <f>ROUND(Data!$G967,0)</f>
        <v>4</v>
      </c>
    </row>
    <row r="968" spans="1:11" ht="14.25" customHeight="1" x14ac:dyDescent="0.3">
      <c r="A968" s="9" t="s">
        <v>1002</v>
      </c>
      <c r="B968" s="9" t="s">
        <v>88</v>
      </c>
      <c r="C968" s="2">
        <v>127</v>
      </c>
      <c r="D968" s="12" t="s">
        <v>35</v>
      </c>
      <c r="E968" s="3">
        <v>45275</v>
      </c>
      <c r="F968" s="15">
        <v>145</v>
      </c>
      <c r="G968" s="18">
        <v>2.6</v>
      </c>
      <c r="H968" s="9">
        <f>IF(MONTH(Data!$E968)&lt;=6, YEAR(Data!$E968), YEAR(Data!$E968)+1)</f>
        <v>2024</v>
      </c>
      <c r="I968" s="9" t="str">
        <f>TEXT(Data!$E968,"DDDD")</f>
        <v>Friday</v>
      </c>
      <c r="J968" s="9" t="s">
        <v>25</v>
      </c>
      <c r="K968" s="23">
        <f>ROUND(Data!$G968,0)</f>
        <v>3</v>
      </c>
    </row>
    <row r="969" spans="1:11" ht="14.25" customHeight="1" x14ac:dyDescent="0.3">
      <c r="A969" s="9" t="s">
        <v>1003</v>
      </c>
      <c r="B969" s="9" t="s">
        <v>29</v>
      </c>
      <c r="C969" s="2">
        <v>96</v>
      </c>
      <c r="D969" s="12" t="s">
        <v>31</v>
      </c>
      <c r="E969" s="3">
        <v>45275</v>
      </c>
      <c r="F969" s="15">
        <v>115</v>
      </c>
      <c r="G969" s="18">
        <v>4.9000000000000004</v>
      </c>
      <c r="H969" s="9">
        <f>IF(MONTH(Data!$E969)&lt;=6, YEAR(Data!$E969), YEAR(Data!$E969)+1)</f>
        <v>2024</v>
      </c>
      <c r="I969" s="9" t="str">
        <f>TEXT(Data!$E969,"DDDD")</f>
        <v>Friday</v>
      </c>
      <c r="J969" s="9" t="s">
        <v>14</v>
      </c>
      <c r="K969" s="23">
        <f>ROUND(Data!$G969,0)</f>
        <v>5</v>
      </c>
    </row>
    <row r="970" spans="1:11" ht="14.25" customHeight="1" x14ac:dyDescent="0.3">
      <c r="A970" s="9" t="s">
        <v>1004</v>
      </c>
      <c r="B970" s="9" t="s">
        <v>68</v>
      </c>
      <c r="C970" s="2">
        <v>151</v>
      </c>
      <c r="D970" s="12" t="s">
        <v>19</v>
      </c>
      <c r="E970" s="3">
        <v>45275</v>
      </c>
      <c r="F970" s="15">
        <v>117</v>
      </c>
      <c r="G970" s="18">
        <v>2</v>
      </c>
      <c r="H970" s="9">
        <f>IF(MONTH(Data!$E970)&lt;=6, YEAR(Data!$E970), YEAR(Data!$E970)+1)</f>
        <v>2024</v>
      </c>
      <c r="I970" s="9" t="str">
        <f>TEXT(Data!$E970,"DDDD")</f>
        <v>Friday</v>
      </c>
      <c r="J970" s="9" t="s">
        <v>25</v>
      </c>
      <c r="K970" s="23">
        <f>ROUND(Data!$G970,0)</f>
        <v>2</v>
      </c>
    </row>
    <row r="971" spans="1:11" ht="14.25" customHeight="1" x14ac:dyDescent="0.3">
      <c r="A971" s="9" t="s">
        <v>1005</v>
      </c>
      <c r="B971" s="9" t="s">
        <v>88</v>
      </c>
      <c r="C971" s="2">
        <v>158</v>
      </c>
      <c r="D971" s="12" t="s">
        <v>13</v>
      </c>
      <c r="E971" s="3">
        <v>45276</v>
      </c>
      <c r="F971" s="15">
        <v>36</v>
      </c>
      <c r="G971" s="18">
        <v>4.7</v>
      </c>
      <c r="H971" s="9">
        <f>IF(MONTH(Data!$E971)&lt;=6, YEAR(Data!$E971), YEAR(Data!$E971)+1)</f>
        <v>2024</v>
      </c>
      <c r="I971" s="9" t="str">
        <f>TEXT(Data!$E971,"DDDD")</f>
        <v>Saturday</v>
      </c>
      <c r="J971" s="9" t="s">
        <v>25</v>
      </c>
      <c r="K971" s="23">
        <f>ROUND(Data!$G971,0)</f>
        <v>5</v>
      </c>
    </row>
    <row r="972" spans="1:11" ht="14.25" customHeight="1" x14ac:dyDescent="0.3">
      <c r="A972" s="9" t="s">
        <v>1006</v>
      </c>
      <c r="B972" s="9" t="s">
        <v>18</v>
      </c>
      <c r="C972" s="2">
        <v>45</v>
      </c>
      <c r="D972" s="12" t="s">
        <v>13</v>
      </c>
      <c r="E972" s="3">
        <v>45276</v>
      </c>
      <c r="F972" s="15">
        <v>84</v>
      </c>
      <c r="G972" s="18">
        <v>2.8</v>
      </c>
      <c r="H972" s="9">
        <f>IF(MONTH(Data!$E972)&lt;=6, YEAR(Data!$E972), YEAR(Data!$E972)+1)</f>
        <v>2024</v>
      </c>
      <c r="I972" s="9" t="str">
        <f>TEXT(Data!$E972,"DDDD")</f>
        <v>Saturday</v>
      </c>
      <c r="J972" s="9" t="s">
        <v>27</v>
      </c>
      <c r="K972" s="23">
        <f>ROUND(Data!$G972,0)</f>
        <v>3</v>
      </c>
    </row>
    <row r="973" spans="1:11" ht="14.25" customHeight="1" x14ac:dyDescent="0.3">
      <c r="A973" s="9" t="s">
        <v>1007</v>
      </c>
      <c r="B973" s="9" t="s">
        <v>40</v>
      </c>
      <c r="C973" s="2">
        <v>141</v>
      </c>
      <c r="D973" s="12" t="s">
        <v>13</v>
      </c>
      <c r="E973" s="3">
        <v>45276</v>
      </c>
      <c r="F973" s="15">
        <v>66</v>
      </c>
      <c r="G973" s="18">
        <v>3.2</v>
      </c>
      <c r="H973" s="9">
        <f>IF(MONTH(Data!$E973)&lt;=6, YEAR(Data!$E973), YEAR(Data!$E973)+1)</f>
        <v>2024</v>
      </c>
      <c r="I973" s="9" t="str">
        <f>TEXT(Data!$E973,"DDDD")</f>
        <v>Saturday</v>
      </c>
      <c r="J973" s="9" t="s">
        <v>25</v>
      </c>
      <c r="K973" s="23">
        <f>ROUND(Data!$G973,0)</f>
        <v>3</v>
      </c>
    </row>
    <row r="974" spans="1:11" ht="14.25" customHeight="1" x14ac:dyDescent="0.3">
      <c r="A974" s="9" t="s">
        <v>1008</v>
      </c>
      <c r="B974" s="9" t="s">
        <v>34</v>
      </c>
      <c r="C974" s="2">
        <v>147</v>
      </c>
      <c r="D974" s="12" t="s">
        <v>31</v>
      </c>
      <c r="E974" s="3">
        <v>45276</v>
      </c>
      <c r="F974" s="15">
        <v>76</v>
      </c>
      <c r="G974" s="18">
        <v>4.7</v>
      </c>
      <c r="H974" s="9">
        <f>IF(MONTH(Data!$E974)&lt;=6, YEAR(Data!$E974), YEAR(Data!$E974)+1)</f>
        <v>2024</v>
      </c>
      <c r="I974" s="9" t="str">
        <f>TEXT(Data!$E974,"DDDD")</f>
        <v>Saturday</v>
      </c>
      <c r="J974" s="9" t="s">
        <v>25</v>
      </c>
      <c r="K974" s="23">
        <f>ROUND(Data!$G974,0)</f>
        <v>5</v>
      </c>
    </row>
    <row r="975" spans="1:11" ht="14.25" customHeight="1" x14ac:dyDescent="0.3">
      <c r="A975" s="9" t="s">
        <v>1009</v>
      </c>
      <c r="B975" s="9" t="s">
        <v>55</v>
      </c>
      <c r="C975" s="2">
        <v>126</v>
      </c>
      <c r="D975" s="12" t="s">
        <v>31</v>
      </c>
      <c r="E975" s="3">
        <v>45276</v>
      </c>
      <c r="F975" s="15">
        <v>185</v>
      </c>
      <c r="G975" s="18">
        <v>4.8</v>
      </c>
      <c r="H975" s="9">
        <f>IF(MONTH(Data!$E975)&lt;=6, YEAR(Data!$E975), YEAR(Data!$E975)+1)</f>
        <v>2024</v>
      </c>
      <c r="I975" s="9" t="str">
        <f>TEXT(Data!$E975,"DDDD")</f>
        <v>Saturday</v>
      </c>
      <c r="J975" s="9" t="s">
        <v>25</v>
      </c>
      <c r="K975" s="23">
        <f>ROUND(Data!$G975,0)</f>
        <v>5</v>
      </c>
    </row>
    <row r="976" spans="1:11" ht="14.25" customHeight="1" x14ac:dyDescent="0.3">
      <c r="A976" s="9" t="s">
        <v>1010</v>
      </c>
      <c r="B976" s="9" t="s">
        <v>18</v>
      </c>
      <c r="C976" s="2">
        <v>126</v>
      </c>
      <c r="D976" s="12" t="s">
        <v>24</v>
      </c>
      <c r="E976" s="3">
        <v>45277</v>
      </c>
      <c r="F976" s="15">
        <v>80</v>
      </c>
      <c r="G976" s="18">
        <v>4.7</v>
      </c>
      <c r="H976" s="9">
        <f>IF(MONTH(Data!$E976)&lt;=6, YEAR(Data!$E976), YEAR(Data!$E976)+1)</f>
        <v>2024</v>
      </c>
      <c r="I976" s="9" t="str">
        <f>TEXT(Data!$E976,"DDDD")</f>
        <v>Sunday</v>
      </c>
      <c r="J976" s="9" t="s">
        <v>25</v>
      </c>
      <c r="K976" s="23">
        <f>ROUND(Data!$G976,0)</f>
        <v>5</v>
      </c>
    </row>
    <row r="977" spans="1:11" ht="14.25" customHeight="1" x14ac:dyDescent="0.3">
      <c r="A977" s="9" t="s">
        <v>1011</v>
      </c>
      <c r="B977" s="9" t="s">
        <v>38</v>
      </c>
      <c r="C977" s="2">
        <v>32</v>
      </c>
      <c r="D977" s="12" t="s">
        <v>31</v>
      </c>
      <c r="E977" s="3">
        <v>45277</v>
      </c>
      <c r="F977" s="15">
        <v>148</v>
      </c>
      <c r="G977" s="18">
        <v>4</v>
      </c>
      <c r="H977" s="9">
        <f>IF(MONTH(Data!$E977)&lt;=6, YEAR(Data!$E977), YEAR(Data!$E977)+1)</f>
        <v>2024</v>
      </c>
      <c r="I977" s="9" t="str">
        <f>TEXT(Data!$E977,"DDDD")</f>
        <v>Sunday</v>
      </c>
      <c r="J977" s="9" t="s">
        <v>27</v>
      </c>
      <c r="K977" s="23">
        <f>ROUND(Data!$G977,0)</f>
        <v>4</v>
      </c>
    </row>
    <row r="978" spans="1:11" ht="14.25" customHeight="1" x14ac:dyDescent="0.3">
      <c r="A978" s="9" t="s">
        <v>1012</v>
      </c>
      <c r="B978" s="9" t="s">
        <v>18</v>
      </c>
      <c r="C978" s="2">
        <v>84</v>
      </c>
      <c r="D978" s="12" t="s">
        <v>35</v>
      </c>
      <c r="E978" s="3">
        <v>45279</v>
      </c>
      <c r="F978" s="15">
        <v>180</v>
      </c>
      <c r="G978" s="18">
        <v>4.9000000000000004</v>
      </c>
      <c r="H978" s="9">
        <f>IF(MONTH(Data!$E978)&lt;=6, YEAR(Data!$E978), YEAR(Data!$E978)+1)</f>
        <v>2024</v>
      </c>
      <c r="I978" s="9" t="str">
        <f>TEXT(Data!$E978,"DDDD")</f>
        <v>Tuesday</v>
      </c>
      <c r="J978" s="9" t="s">
        <v>14</v>
      </c>
      <c r="K978" s="23">
        <f>ROUND(Data!$G978,0)</f>
        <v>5</v>
      </c>
    </row>
    <row r="979" spans="1:11" ht="14.25" customHeight="1" x14ac:dyDescent="0.3">
      <c r="A979" s="9" t="s">
        <v>1013</v>
      </c>
      <c r="B979" s="9" t="s">
        <v>46</v>
      </c>
      <c r="C979" s="2">
        <v>120</v>
      </c>
      <c r="D979" s="12" t="s">
        <v>24</v>
      </c>
      <c r="E979" s="3">
        <v>45280</v>
      </c>
      <c r="F979" s="15">
        <v>190</v>
      </c>
      <c r="G979" s="18">
        <v>3.7</v>
      </c>
      <c r="H979" s="9">
        <f>IF(MONTH(Data!$E979)&lt;=6, YEAR(Data!$E979), YEAR(Data!$E979)+1)</f>
        <v>2024</v>
      </c>
      <c r="I979" s="9" t="str">
        <f>TEXT(Data!$E979,"DDDD")</f>
        <v>Wednesday</v>
      </c>
      <c r="J979" s="9" t="s">
        <v>14</v>
      </c>
      <c r="K979" s="23">
        <f>ROUND(Data!$G979,0)</f>
        <v>4</v>
      </c>
    </row>
    <row r="980" spans="1:11" ht="14.25" customHeight="1" x14ac:dyDescent="0.3">
      <c r="A980" s="9" t="s">
        <v>1014</v>
      </c>
      <c r="B980" s="9" t="s">
        <v>23</v>
      </c>
      <c r="C980" s="2">
        <v>93</v>
      </c>
      <c r="D980" s="12" t="s">
        <v>31</v>
      </c>
      <c r="E980" s="3">
        <v>45280</v>
      </c>
      <c r="F980" s="15">
        <v>38</v>
      </c>
      <c r="G980" s="18">
        <v>4.5</v>
      </c>
      <c r="H980" s="9">
        <f>IF(MONTH(Data!$E980)&lt;=6, YEAR(Data!$E980), YEAR(Data!$E980)+1)</f>
        <v>2024</v>
      </c>
      <c r="I980" s="9" t="str">
        <f>TEXT(Data!$E980,"DDDD")</f>
        <v>Wednesday</v>
      </c>
      <c r="J980" s="9" t="s">
        <v>14</v>
      </c>
      <c r="K980" s="23">
        <f>ROUND(Data!$G980,0)</f>
        <v>5</v>
      </c>
    </row>
    <row r="981" spans="1:11" ht="14.25" customHeight="1" x14ac:dyDescent="0.3">
      <c r="A981" s="9" t="s">
        <v>1015</v>
      </c>
      <c r="B981" s="9" t="s">
        <v>29</v>
      </c>
      <c r="C981" s="2">
        <v>76</v>
      </c>
      <c r="D981" s="12" t="s">
        <v>19</v>
      </c>
      <c r="E981" s="3">
        <v>45281</v>
      </c>
      <c r="F981" s="15">
        <v>82</v>
      </c>
      <c r="G981" s="18">
        <v>2.1</v>
      </c>
      <c r="H981" s="9">
        <f>IF(MONTH(Data!$E981)&lt;=6, YEAR(Data!$E981), YEAR(Data!$E981)+1)</f>
        <v>2024</v>
      </c>
      <c r="I981" s="9" t="str">
        <f>TEXT(Data!$E981,"DDDD")</f>
        <v>Thursday</v>
      </c>
      <c r="J981" s="9" t="s">
        <v>14</v>
      </c>
      <c r="K981" s="23">
        <f>ROUND(Data!$G981,0)</f>
        <v>2</v>
      </c>
    </row>
    <row r="982" spans="1:11" ht="14.25" customHeight="1" x14ac:dyDescent="0.3">
      <c r="A982" s="9" t="s">
        <v>1016</v>
      </c>
      <c r="B982" s="9" t="s">
        <v>88</v>
      </c>
      <c r="C982" s="2">
        <v>89</v>
      </c>
      <c r="D982" s="12" t="s">
        <v>31</v>
      </c>
      <c r="E982" s="3">
        <v>45284</v>
      </c>
      <c r="F982" s="15">
        <v>88</v>
      </c>
      <c r="G982" s="18">
        <v>2.8</v>
      </c>
      <c r="H982" s="9">
        <f>IF(MONTH(Data!$E982)&lt;=6, YEAR(Data!$E982), YEAR(Data!$E982)+1)</f>
        <v>2024</v>
      </c>
      <c r="I982" s="9" t="str">
        <f>TEXT(Data!$E982,"DDDD")</f>
        <v>Sunday</v>
      </c>
      <c r="J982" s="9" t="s">
        <v>14</v>
      </c>
      <c r="K982" s="23">
        <f>ROUND(Data!$G982,0)</f>
        <v>3</v>
      </c>
    </row>
    <row r="983" spans="1:11" ht="14.25" customHeight="1" x14ac:dyDescent="0.3">
      <c r="A983" s="9" t="s">
        <v>1017</v>
      </c>
      <c r="B983" s="9" t="s">
        <v>21</v>
      </c>
      <c r="C983" s="2">
        <v>91</v>
      </c>
      <c r="D983" s="12" t="s">
        <v>35</v>
      </c>
      <c r="E983" s="3">
        <v>45284</v>
      </c>
      <c r="F983" s="15">
        <v>42</v>
      </c>
      <c r="G983" s="18">
        <v>4.0999999999999996</v>
      </c>
      <c r="H983" s="9">
        <f>IF(MONTH(Data!$E983)&lt;=6, YEAR(Data!$E983), YEAR(Data!$E983)+1)</f>
        <v>2024</v>
      </c>
      <c r="I983" s="9" t="str">
        <f>TEXT(Data!$E983,"DDDD")</f>
        <v>Sunday</v>
      </c>
      <c r="J983" s="9" t="s">
        <v>14</v>
      </c>
      <c r="K983" s="23">
        <f>ROUND(Data!$G983,0)</f>
        <v>4</v>
      </c>
    </row>
    <row r="984" spans="1:11" ht="14.25" customHeight="1" x14ac:dyDescent="0.3">
      <c r="A984" s="9" t="s">
        <v>1018</v>
      </c>
      <c r="B984" s="9" t="s">
        <v>50</v>
      </c>
      <c r="C984" s="2">
        <v>7</v>
      </c>
      <c r="D984" s="12" t="s">
        <v>13</v>
      </c>
      <c r="E984" s="3">
        <v>45285</v>
      </c>
      <c r="F984" s="15">
        <v>64</v>
      </c>
      <c r="G984" s="18">
        <v>3.3</v>
      </c>
      <c r="H984" s="9">
        <f>IF(MONTH(Data!$E984)&lt;=6, YEAR(Data!$E984), YEAR(Data!$E984)+1)</f>
        <v>2024</v>
      </c>
      <c r="I984" s="9" t="str">
        <f>TEXT(Data!$E984,"DDDD")</f>
        <v>Monday</v>
      </c>
      <c r="J984" s="9" t="s">
        <v>176</v>
      </c>
      <c r="K984" s="23">
        <f>ROUND(Data!$G984,0)</f>
        <v>3</v>
      </c>
    </row>
    <row r="985" spans="1:11" ht="14.25" customHeight="1" x14ac:dyDescent="0.3">
      <c r="A985" s="9" t="s">
        <v>1019</v>
      </c>
      <c r="B985" s="9" t="s">
        <v>38</v>
      </c>
      <c r="C985" s="2">
        <v>140</v>
      </c>
      <c r="D985" s="12" t="s">
        <v>13</v>
      </c>
      <c r="E985" s="3">
        <v>45285</v>
      </c>
      <c r="F985" s="15">
        <v>105</v>
      </c>
      <c r="G985" s="18">
        <v>1.7</v>
      </c>
      <c r="H985" s="9">
        <f>IF(MONTH(Data!$E985)&lt;=6, YEAR(Data!$E985), YEAR(Data!$E985)+1)</f>
        <v>2024</v>
      </c>
      <c r="I985" s="9" t="str">
        <f>TEXT(Data!$E985,"DDDD")</f>
        <v>Monday</v>
      </c>
      <c r="J985" s="9" t="s">
        <v>25</v>
      </c>
      <c r="K985" s="23">
        <f>ROUND(Data!$G985,0)</f>
        <v>2</v>
      </c>
    </row>
    <row r="986" spans="1:11" ht="14.25" customHeight="1" x14ac:dyDescent="0.3">
      <c r="A986" s="9" t="s">
        <v>1020</v>
      </c>
      <c r="B986" s="9" t="s">
        <v>16</v>
      </c>
      <c r="C986" s="2">
        <v>58</v>
      </c>
      <c r="D986" s="12" t="s">
        <v>24</v>
      </c>
      <c r="E986" s="3">
        <v>45285</v>
      </c>
      <c r="F986" s="15">
        <v>25</v>
      </c>
      <c r="G986" s="18">
        <v>3.6</v>
      </c>
      <c r="H986" s="9">
        <f>IF(MONTH(Data!$E986)&lt;=6, YEAR(Data!$E986), YEAR(Data!$E986)+1)</f>
        <v>2024</v>
      </c>
      <c r="I986" s="9" t="str">
        <f>TEXT(Data!$E986,"DDDD")</f>
        <v>Monday</v>
      </c>
      <c r="J986" s="9" t="s">
        <v>27</v>
      </c>
      <c r="K986" s="23">
        <f>ROUND(Data!$G986,0)</f>
        <v>4</v>
      </c>
    </row>
    <row r="987" spans="1:11" ht="14.25" customHeight="1" x14ac:dyDescent="0.3">
      <c r="A987" s="9" t="s">
        <v>1021</v>
      </c>
      <c r="B987" s="9" t="s">
        <v>12</v>
      </c>
      <c r="C987" s="2">
        <v>90</v>
      </c>
      <c r="D987" s="12" t="s">
        <v>19</v>
      </c>
      <c r="E987" s="3">
        <v>45286</v>
      </c>
      <c r="F987" s="15">
        <v>176</v>
      </c>
      <c r="G987" s="18">
        <v>3.6</v>
      </c>
      <c r="H987" s="9">
        <f>IF(MONTH(Data!$E987)&lt;=6, YEAR(Data!$E987), YEAR(Data!$E987)+1)</f>
        <v>2024</v>
      </c>
      <c r="I987" s="9" t="str">
        <f>TEXT(Data!$E987,"DDDD")</f>
        <v>Tuesday</v>
      </c>
      <c r="J987" s="9" t="s">
        <v>14</v>
      </c>
      <c r="K987" s="23">
        <f>ROUND(Data!$G987,0)</f>
        <v>4</v>
      </c>
    </row>
    <row r="988" spans="1:11" ht="14.25" customHeight="1" x14ac:dyDescent="0.3">
      <c r="A988" s="9" t="s">
        <v>1022</v>
      </c>
      <c r="B988" s="9" t="s">
        <v>12</v>
      </c>
      <c r="C988" s="2">
        <v>106</v>
      </c>
      <c r="D988" s="12" t="s">
        <v>31</v>
      </c>
      <c r="E988" s="3">
        <v>45287</v>
      </c>
      <c r="F988" s="15">
        <v>46</v>
      </c>
      <c r="G988" s="18">
        <v>4.5999999999999996</v>
      </c>
      <c r="H988" s="9">
        <f>IF(MONTH(Data!$E988)&lt;=6, YEAR(Data!$E988), YEAR(Data!$E988)+1)</f>
        <v>2024</v>
      </c>
      <c r="I988" s="9" t="str">
        <f>TEXT(Data!$E988,"DDDD")</f>
        <v>Wednesday</v>
      </c>
      <c r="J988" s="9" t="s">
        <v>14</v>
      </c>
      <c r="K988" s="23">
        <f>ROUND(Data!$G988,0)</f>
        <v>5</v>
      </c>
    </row>
    <row r="989" spans="1:11" ht="14.25" customHeight="1" x14ac:dyDescent="0.3">
      <c r="A989" s="9" t="s">
        <v>1023</v>
      </c>
      <c r="B989" s="9" t="s">
        <v>46</v>
      </c>
      <c r="C989" s="2">
        <v>72</v>
      </c>
      <c r="D989" s="12" t="s">
        <v>13</v>
      </c>
      <c r="E989" s="3">
        <v>45287</v>
      </c>
      <c r="F989" s="15">
        <v>164</v>
      </c>
      <c r="G989" s="18">
        <v>4.8</v>
      </c>
      <c r="H989" s="9">
        <f>IF(MONTH(Data!$E989)&lt;=6, YEAR(Data!$E989), YEAR(Data!$E989)+1)</f>
        <v>2024</v>
      </c>
      <c r="I989" s="9" t="str">
        <f>TEXT(Data!$E989,"DDDD")</f>
        <v>Wednesday</v>
      </c>
      <c r="J989" s="9" t="s">
        <v>14</v>
      </c>
      <c r="K989" s="23">
        <f>ROUND(Data!$G989,0)</f>
        <v>5</v>
      </c>
    </row>
    <row r="990" spans="1:11" ht="14.25" customHeight="1" x14ac:dyDescent="0.3">
      <c r="A990" s="9" t="s">
        <v>1024</v>
      </c>
      <c r="B990" s="9" t="s">
        <v>50</v>
      </c>
      <c r="C990" s="2">
        <v>124</v>
      </c>
      <c r="D990" s="12" t="s">
        <v>13</v>
      </c>
      <c r="E990" s="3">
        <v>45288</v>
      </c>
      <c r="F990" s="15">
        <v>64</v>
      </c>
      <c r="G990" s="18">
        <v>4.5</v>
      </c>
      <c r="H990" s="9">
        <f>IF(MONTH(Data!$E990)&lt;=6, YEAR(Data!$E990), YEAR(Data!$E990)+1)</f>
        <v>2024</v>
      </c>
      <c r="I990" s="9" t="str">
        <f>TEXT(Data!$E990,"DDDD")</f>
        <v>Thursday</v>
      </c>
      <c r="J990" s="9" t="s">
        <v>25</v>
      </c>
      <c r="K990" s="23">
        <f>ROUND(Data!$G990,0)</f>
        <v>5</v>
      </c>
    </row>
    <row r="991" spans="1:11" ht="14.25" customHeight="1" x14ac:dyDescent="0.3">
      <c r="A991" s="9" t="s">
        <v>1025</v>
      </c>
      <c r="B991" s="9" t="s">
        <v>40</v>
      </c>
      <c r="C991" s="2">
        <v>86</v>
      </c>
      <c r="D991" s="12" t="s">
        <v>35</v>
      </c>
      <c r="E991" s="3">
        <v>45288</v>
      </c>
      <c r="F991" s="15">
        <v>205</v>
      </c>
      <c r="G991" s="18">
        <v>4.5</v>
      </c>
      <c r="H991" s="9">
        <f>IF(MONTH(Data!$E991)&lt;=6, YEAR(Data!$E991), YEAR(Data!$E991)+1)</f>
        <v>2024</v>
      </c>
      <c r="I991" s="9" t="str">
        <f>TEXT(Data!$E991,"DDDD")</f>
        <v>Thursday</v>
      </c>
      <c r="J991" s="9" t="s">
        <v>14</v>
      </c>
      <c r="K991" s="23">
        <f>ROUND(Data!$G991,0)</f>
        <v>5</v>
      </c>
    </row>
    <row r="992" spans="1:11" ht="14.25" customHeight="1" x14ac:dyDescent="0.3">
      <c r="A992" s="9" t="s">
        <v>1026</v>
      </c>
      <c r="B992" s="9" t="s">
        <v>18</v>
      </c>
      <c r="C992" s="2">
        <v>164</v>
      </c>
      <c r="D992" s="12" t="s">
        <v>35</v>
      </c>
      <c r="E992" s="3">
        <v>45289</v>
      </c>
      <c r="F992" s="15">
        <v>100</v>
      </c>
      <c r="G992" s="18">
        <v>4.5999999999999996</v>
      </c>
      <c r="H992" s="9">
        <f>IF(MONTH(Data!$E992)&lt;=6, YEAR(Data!$E992), YEAR(Data!$E992)+1)</f>
        <v>2024</v>
      </c>
      <c r="I992" s="9" t="str">
        <f>TEXT(Data!$E992,"DDDD")</f>
        <v>Friday</v>
      </c>
      <c r="J992" s="9" t="s">
        <v>25</v>
      </c>
      <c r="K992" s="23">
        <f>ROUND(Data!$G992,0)</f>
        <v>5</v>
      </c>
    </row>
    <row r="993" spans="1:11" ht="14.25" customHeight="1" x14ac:dyDescent="0.3">
      <c r="A993" s="9" t="s">
        <v>1027</v>
      </c>
      <c r="B993" s="9" t="s">
        <v>23</v>
      </c>
      <c r="C993" s="2">
        <v>40</v>
      </c>
      <c r="D993" s="12" t="s">
        <v>19</v>
      </c>
      <c r="E993" s="3">
        <v>45289</v>
      </c>
      <c r="F993" s="15">
        <v>111</v>
      </c>
      <c r="G993" s="18">
        <v>4.5999999999999996</v>
      </c>
      <c r="H993" s="9">
        <f>IF(MONTH(Data!$E993)&lt;=6, YEAR(Data!$E993), YEAR(Data!$E993)+1)</f>
        <v>2024</v>
      </c>
      <c r="I993" s="9" t="str">
        <f>TEXT(Data!$E993,"DDDD")</f>
        <v>Friday</v>
      </c>
      <c r="J993" s="9" t="s">
        <v>27</v>
      </c>
      <c r="K993" s="23">
        <f>ROUND(Data!$G993,0)</f>
        <v>5</v>
      </c>
    </row>
    <row r="994" spans="1:11" ht="14.25" customHeight="1" x14ac:dyDescent="0.3">
      <c r="A994" s="9" t="s">
        <v>1028</v>
      </c>
      <c r="B994" s="9" t="s">
        <v>21</v>
      </c>
      <c r="C994" s="2">
        <v>76</v>
      </c>
      <c r="D994" s="12" t="s">
        <v>24</v>
      </c>
      <c r="E994" s="3">
        <v>45289</v>
      </c>
      <c r="F994" s="15">
        <v>80</v>
      </c>
      <c r="G994" s="18">
        <v>3.5</v>
      </c>
      <c r="H994" s="9">
        <f>IF(MONTH(Data!$E994)&lt;=6, YEAR(Data!$E994), YEAR(Data!$E994)+1)</f>
        <v>2024</v>
      </c>
      <c r="I994" s="9" t="str">
        <f>TEXT(Data!$E994,"DDDD")</f>
        <v>Friday</v>
      </c>
      <c r="J994" s="9" t="s">
        <v>14</v>
      </c>
      <c r="K994" s="23">
        <f>ROUND(Data!$G994,0)</f>
        <v>4</v>
      </c>
    </row>
    <row r="995" spans="1:11" ht="14.25" customHeight="1" x14ac:dyDescent="0.3">
      <c r="A995" s="9" t="s">
        <v>1029</v>
      </c>
      <c r="B995" s="9" t="s">
        <v>50</v>
      </c>
      <c r="C995" s="2">
        <v>95</v>
      </c>
      <c r="D995" s="12" t="s">
        <v>31</v>
      </c>
      <c r="E995" s="3">
        <v>45289</v>
      </c>
      <c r="F995" s="15">
        <v>50</v>
      </c>
      <c r="G995" s="18">
        <v>2.9</v>
      </c>
      <c r="H995" s="9">
        <f>IF(MONTH(Data!$E995)&lt;=6, YEAR(Data!$E995), YEAR(Data!$E995)+1)</f>
        <v>2024</v>
      </c>
      <c r="I995" s="9" t="str">
        <f>TEXT(Data!$E995,"DDDD")</f>
        <v>Friday</v>
      </c>
      <c r="J995" s="9" t="s">
        <v>14</v>
      </c>
      <c r="K995" s="23">
        <f>ROUND(Data!$G995,0)</f>
        <v>3</v>
      </c>
    </row>
    <row r="996" spans="1:11" ht="14.25" customHeight="1" x14ac:dyDescent="0.3">
      <c r="A996" s="9" t="s">
        <v>1030</v>
      </c>
      <c r="B996" s="9" t="s">
        <v>21</v>
      </c>
      <c r="C996" s="2">
        <v>113</v>
      </c>
      <c r="D996" s="12" t="s">
        <v>13</v>
      </c>
      <c r="E996" s="3">
        <v>45290</v>
      </c>
      <c r="F996" s="15">
        <v>165</v>
      </c>
      <c r="G996" s="18">
        <v>4.7</v>
      </c>
      <c r="H996" s="9">
        <f>IF(MONTH(Data!$E996)&lt;=6, YEAR(Data!$E996), YEAR(Data!$E996)+1)</f>
        <v>2024</v>
      </c>
      <c r="I996" s="9" t="str">
        <f>TEXT(Data!$E996,"DDDD")</f>
        <v>Saturday</v>
      </c>
      <c r="J996" s="9" t="s">
        <v>14</v>
      </c>
      <c r="K996" s="23">
        <f>ROUND(Data!$G996,0)</f>
        <v>5</v>
      </c>
    </row>
    <row r="997" spans="1:11" ht="14.25" customHeight="1" x14ac:dyDescent="0.3">
      <c r="A997" s="9" t="s">
        <v>1031</v>
      </c>
      <c r="B997" s="9" t="s">
        <v>40</v>
      </c>
      <c r="C997" s="2">
        <v>81</v>
      </c>
      <c r="D997" s="12" t="s">
        <v>13</v>
      </c>
      <c r="E997" s="3">
        <v>45290</v>
      </c>
      <c r="F997" s="15">
        <v>28</v>
      </c>
      <c r="G997" s="18">
        <v>3.9</v>
      </c>
      <c r="H997" s="9">
        <f>IF(MONTH(Data!$E997)&lt;=6, YEAR(Data!$E997), YEAR(Data!$E997)+1)</f>
        <v>2024</v>
      </c>
      <c r="I997" s="9" t="str">
        <f>TEXT(Data!$E997,"DDDD")</f>
        <v>Saturday</v>
      </c>
      <c r="J997" s="9" t="s">
        <v>14</v>
      </c>
      <c r="K997" s="23">
        <f>ROUND(Data!$G997,0)</f>
        <v>4</v>
      </c>
    </row>
    <row r="998" spans="1:11" ht="14.25" customHeight="1" x14ac:dyDescent="0.3">
      <c r="A998" s="9" t="s">
        <v>1032</v>
      </c>
      <c r="B998" s="9" t="s">
        <v>29</v>
      </c>
      <c r="C998" s="2">
        <v>127</v>
      </c>
      <c r="D998" s="12" t="s">
        <v>31</v>
      </c>
      <c r="E998" s="3">
        <v>45290</v>
      </c>
      <c r="F998" s="15">
        <v>215</v>
      </c>
      <c r="G998" s="18">
        <v>3.8</v>
      </c>
      <c r="H998" s="9">
        <f>IF(MONTH(Data!$E998)&lt;=6, YEAR(Data!$E998), YEAR(Data!$E998)+1)</f>
        <v>2024</v>
      </c>
      <c r="I998" s="9" t="str">
        <f>TEXT(Data!$E998,"DDDD")</f>
        <v>Saturday</v>
      </c>
      <c r="J998" s="9" t="s">
        <v>25</v>
      </c>
      <c r="K998" s="23">
        <f>ROUND(Data!$G998,0)</f>
        <v>4</v>
      </c>
    </row>
    <row r="999" spans="1:11" ht="14.25" customHeight="1" x14ac:dyDescent="0.3">
      <c r="A999" s="9" t="s">
        <v>1033</v>
      </c>
      <c r="B999" s="9" t="s">
        <v>38</v>
      </c>
      <c r="C999" s="2">
        <v>146</v>
      </c>
      <c r="D999" s="12" t="s">
        <v>13</v>
      </c>
      <c r="E999" s="3">
        <v>45291</v>
      </c>
      <c r="F999" s="15">
        <v>115</v>
      </c>
      <c r="G999" s="18">
        <v>2.2999999999999998</v>
      </c>
      <c r="H999" s="9">
        <f>IF(MONTH(Data!$E999)&lt;=6, YEAR(Data!$E999), YEAR(Data!$E999)+1)</f>
        <v>2024</v>
      </c>
      <c r="I999" s="9" t="str">
        <f>TEXT(Data!$E999,"DDDD")</f>
        <v>Sunday</v>
      </c>
      <c r="J999" s="9" t="s">
        <v>25</v>
      </c>
      <c r="K999" s="23">
        <f>ROUND(Data!$G999,0)</f>
        <v>2</v>
      </c>
    </row>
    <row r="1000" spans="1:11" ht="14.25" customHeight="1" x14ac:dyDescent="0.3">
      <c r="A1000" s="9" t="s">
        <v>1034</v>
      </c>
      <c r="B1000" s="9" t="s">
        <v>34</v>
      </c>
      <c r="C1000" s="2">
        <v>123</v>
      </c>
      <c r="D1000" s="12" t="s">
        <v>13</v>
      </c>
      <c r="E1000" s="3">
        <v>45291</v>
      </c>
      <c r="F1000" s="15">
        <v>64</v>
      </c>
      <c r="G1000" s="18">
        <v>3.7</v>
      </c>
      <c r="H1000" s="9">
        <f>IF(MONTH(Data!$E1000)&lt;=6, YEAR(Data!$E1000), YEAR(Data!$E1000)+1)</f>
        <v>2024</v>
      </c>
      <c r="I1000" s="9" t="str">
        <f>TEXT(Data!$E1000,"DDDD")</f>
        <v>Sunday</v>
      </c>
      <c r="J1000" s="9" t="s">
        <v>25</v>
      </c>
      <c r="K1000" s="23">
        <f>ROUND(Data!$G1000,0)</f>
        <v>4</v>
      </c>
    </row>
    <row r="1001" spans="1:11" ht="14.25" customHeight="1" x14ac:dyDescent="0.3">
      <c r="A1001" s="9" t="s">
        <v>1035</v>
      </c>
      <c r="B1001" s="9" t="s">
        <v>46</v>
      </c>
      <c r="C1001" s="2">
        <v>114</v>
      </c>
      <c r="D1001" s="12" t="s">
        <v>24</v>
      </c>
      <c r="E1001" s="3">
        <v>45291</v>
      </c>
      <c r="F1001" s="15">
        <v>40</v>
      </c>
      <c r="G1001" s="18">
        <v>3.9</v>
      </c>
      <c r="H1001" s="9">
        <f>IF(MONTH(Data!$E1001)&lt;=6, YEAR(Data!$E1001), YEAR(Data!$E1001)+1)</f>
        <v>2024</v>
      </c>
      <c r="I1001" s="9" t="str">
        <f>TEXT(Data!$E1001,"DDDD")</f>
        <v>Sunday</v>
      </c>
      <c r="J1001" s="9" t="s">
        <v>14</v>
      </c>
      <c r="K1001" s="23">
        <f>ROUND(Data!$G1001,0)</f>
        <v>4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Pivot_Analysis</vt:lpstr>
      <vt:lpstr>Call center insights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UTD</dc:creator>
  <cp:lastModifiedBy>ar5389397@gmail.com</cp:lastModifiedBy>
  <dcterms:created xsi:type="dcterms:W3CDTF">2021-03-14T20:21:32Z</dcterms:created>
  <dcterms:modified xsi:type="dcterms:W3CDTF">2026-10-24T10:00:30Z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2025-11-11T02:40:27Z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96f51d6d-2893-4910-829c-60f62a858eaf</vt:lpwstr>
  </property>
  <property fmtid="{D5CDD505-2E9C-101B-9397-08002B2CF9AE}" pid="7" name="MSIP_Label_defa4170-0d19-0005-0004-bc88714345d2_ActionId">
    <vt:lpwstr>9f00fdf4-1fc1-45b3-b940-4cd09b5a9ea7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